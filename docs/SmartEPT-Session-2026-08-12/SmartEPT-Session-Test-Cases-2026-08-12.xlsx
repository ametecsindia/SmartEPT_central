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Cases'!$A$4:$J$81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<sst xmlns="http://schemas.openxmlformats.org/spreadsheetml/2006/main" count="573" uniqueCount="382">
  <si>
    <t xml:space="preserve">SmartEPT — Session Test Case Suite (11–12 Aug 2026)</t>
  </si>
  <si>
    <t xml:space="preserve">Covers: progressive lifetime pricing · admin deletes · coupon visibility · dunning fix · branding · product login fix · client-wise SMTP · forgot-password OTP</t>
  </si>
  <si>
    <t xml:space="preserve">TC ID</t>
  </si>
  <si>
    <t xml:space="preserve">Module</t>
  </si>
  <si>
    <t xml:space="preserve">Priority</t>
  </si>
  <si>
    <t xml:space="preserve">Test Case</t>
  </si>
  <si>
    <t xml:space="preserve">Preconditions</t>
  </si>
  <si>
    <t xml:space="preserve">Steps</t>
  </si>
  <si>
    <t xml:space="preserve">Expected Result</t>
  </si>
  <si>
    <t xml:space="preserve">Status</t>
  </si>
  <si>
    <t xml:space="preserve">Tested By</t>
  </si>
  <si>
    <t xml:space="preserve">Remarks</t>
  </si>
  <si>
    <t xml:space="preserve">TC-001</t>
  </si>
  <si>
    <t xml:space="preserve">Pricing — /buy (Perpetual)</t>
  </si>
  <si>
    <t xml:space="preserve">P1</t>
  </si>
  <si>
    <t xml:space="preserve">Perpetual price for 5 monitored users</t>
  </si>
  <si>
    <t xml:space="preserve">Bands: 5–15 ₹15k · 16–30 ₹25k · 31–50 ₹40k · 51–100 ₹60k · 101–150 ₹75k · 151–200 ₹90k. Hard refresh /buy, Own·Perpetual, INR.</t>
  </si>
  <si>
    <t xml:space="preserve">Set Monitored users = 5; read the licence line in the price panel</t>
  </si>
  <si>
    <t xml:space="preserve">Licence price shows exactly ₹15,000 (first-band flat (minimum package)); GST 18% on top; total = licence+setup(if ticked)+GST</t>
  </si>
  <si>
    <t xml:space="preserve">TC-002</t>
  </si>
  <si>
    <t xml:space="preserve">Perpetual price for 10 monitored users</t>
  </si>
  <si>
    <t xml:space="preserve">Set Monitored users = 10; read the licence line in the price panel</t>
  </si>
  <si>
    <t xml:space="preserve">Licence price shows exactly ₹15,000 (first-band flat); GST 18% on top; total = licence+setup(if ticked)+GST</t>
  </si>
  <si>
    <t xml:space="preserve">TC-003</t>
  </si>
  <si>
    <t xml:space="preserve">Perpetual price for 15 monitored users</t>
  </si>
  <si>
    <t xml:space="preserve">Set Monitored users = 15; read the licence line in the price panel</t>
  </si>
  <si>
    <t xml:space="preserve">Licence price shows exactly ₹15,000 (milestone exact); GST 18% on top; total = licence+setup(if ticked)+GST</t>
  </si>
  <si>
    <t xml:space="preserve">TC-004</t>
  </si>
  <si>
    <t xml:space="preserve">Perpetual price for 16 monitored users</t>
  </si>
  <si>
    <t xml:space="preserve">Set Monitored users = 16; read the licence line in the price panel</t>
  </si>
  <si>
    <t xml:space="preserve">Licence price shows exactly ₹15,667 (15,000 + 1×(10,000/15), single final round); GST 18% on top; total = licence+setup(if ticked)+GST</t>
  </si>
  <si>
    <t xml:space="preserve">TC-005</t>
  </si>
  <si>
    <t xml:space="preserve">Perpetual price for 30 monitored users</t>
  </si>
  <si>
    <t xml:space="preserve">Set Monitored users = 30; read the licence line in the price panel</t>
  </si>
  <si>
    <t xml:space="preserve">Licence price shows exactly ₹25,000 (milestone exact); GST 18% on top; total = licence+setup(if ticked)+GST</t>
  </si>
  <si>
    <t xml:space="preserve">TC-006</t>
  </si>
  <si>
    <t xml:space="preserve">Perpetual price for 31 monitored users</t>
  </si>
  <si>
    <t xml:space="preserve">Set Monitored users = 31; read the licence line in the price panel</t>
  </si>
  <si>
    <t xml:space="preserve">Licence price shows exactly ₹25,750 (25,000 + 1×750); GST 18% on top; total = licence+setup(if ticked)+GST</t>
  </si>
  <si>
    <t xml:space="preserve">TC-007</t>
  </si>
  <si>
    <t xml:space="preserve">Perpetual price for 41 monitored users</t>
  </si>
  <si>
    <t xml:space="preserve">Set Monitored users = 41; read the licence line in the price panel</t>
  </si>
  <si>
    <t xml:space="preserve">Licence price shows exactly ₹33,250 (25,000 + 11×750); GST 18% on top; total = licence+setup(if ticked)+GST</t>
  </si>
  <si>
    <t xml:space="preserve">TC-008</t>
  </si>
  <si>
    <t xml:space="preserve">Perpetual price for 50 monitored users</t>
  </si>
  <si>
    <t xml:space="preserve">Set Monitored users = 50; read the licence line in the price panel</t>
  </si>
  <si>
    <t xml:space="preserve">Licence price shows exactly ₹40,000 (milestone exact); GST 18% on top; total = licence+setup(if ticked)+GST</t>
  </si>
  <si>
    <t xml:space="preserve">TC-009</t>
  </si>
  <si>
    <t xml:space="preserve">Perpetual price for 51 monitored users</t>
  </si>
  <si>
    <t xml:space="preserve">Set Monitored users = 51; read the licence line in the price panel</t>
  </si>
  <si>
    <t xml:space="preserve">Licence price shows exactly ₹40,400 (40,000 + 1×400); GST 18% on top; total = licence+setup(if ticked)+GST</t>
  </si>
  <si>
    <t xml:space="preserve">TC-010</t>
  </si>
  <si>
    <t xml:space="preserve">Perpetual price for 61 monitored users</t>
  </si>
  <si>
    <t xml:space="preserve">Set Monitored users = 61; read the licence line in the price panel</t>
  </si>
  <si>
    <t xml:space="preserve">Licence price shows exactly ₹44,400 (40,000 + 11×400); GST 18% on top; total = licence+setup(if ticked)+GST</t>
  </si>
  <si>
    <t xml:space="preserve">TC-011</t>
  </si>
  <si>
    <t xml:space="preserve">Perpetual price for 100 monitored users</t>
  </si>
  <si>
    <t xml:space="preserve">Set Monitored users = 100; read the licence line in the price panel</t>
  </si>
  <si>
    <t xml:space="preserve">Licence price shows exactly ₹60,000 (milestone exact); GST 18% on top; total = licence+setup(if ticked)+GST</t>
  </si>
  <si>
    <t xml:space="preserve">TC-012</t>
  </si>
  <si>
    <t xml:space="preserve">Perpetual price for 101 monitored users</t>
  </si>
  <si>
    <t xml:space="preserve">Set Monitored users = 101; read the licence line in the price panel</t>
  </si>
  <si>
    <t xml:space="preserve">Licence price shows exactly ₹60,300 (60,000 + 1×300); GST 18% on top; total = licence+setup(if ticked)+GST</t>
  </si>
  <si>
    <t xml:space="preserve">TC-013</t>
  </si>
  <si>
    <t xml:space="preserve">Perpetual price for 150 monitored users</t>
  </si>
  <si>
    <t xml:space="preserve">Set Monitored users = 150; read the licence line in the price panel</t>
  </si>
  <si>
    <t xml:space="preserve">Licence price shows exactly ₹75,000 (milestone exact); GST 18% on top; total = licence+setup(if ticked)+GST</t>
  </si>
  <si>
    <t xml:space="preserve">TC-014</t>
  </si>
  <si>
    <t xml:space="preserve">Perpetual price for 151 monitored users</t>
  </si>
  <si>
    <t xml:space="preserve">Set Monitored users = 151; read the licence line in the price panel</t>
  </si>
  <si>
    <t xml:space="preserve">Licence price shows exactly ₹75,300 (75,000 + 1×300); GST 18% on top; total = licence+setup(if ticked)+GST</t>
  </si>
  <si>
    <t xml:space="preserve">TC-015</t>
  </si>
  <si>
    <t xml:space="preserve">Perpetual price for 160 monitored users</t>
  </si>
  <si>
    <t xml:space="preserve">Set Monitored users = 160; read the licence line in the price panel</t>
  </si>
  <si>
    <t xml:space="preserve">Licence price shows exactly ₹78,000 (75,000 + 10×300); GST 18% on top; total = licence+setup(if ticked)+GST</t>
  </si>
  <si>
    <t xml:space="preserve">TC-016</t>
  </si>
  <si>
    <t xml:space="preserve">Perpetual price for 175 monitored users</t>
  </si>
  <si>
    <t xml:space="preserve">Set Monitored users = 175; read the licence line in the price panel</t>
  </si>
  <si>
    <t xml:space="preserve">Licence price shows exactly ₹82,500 (75,000 + 25×300); GST 18% on top; total = licence+setup(if ticked)+GST</t>
  </si>
  <si>
    <t xml:space="preserve">TC-017</t>
  </si>
  <si>
    <t xml:space="preserve">Perpetual price for 199 monitored users</t>
  </si>
  <si>
    <t xml:space="preserve">Set Monitored users = 199; read the licence line in the price panel</t>
  </si>
  <si>
    <t xml:space="preserve">Licence price shows exactly ₹89,700 (75,000 + 49×300); GST 18% on top; total = licence+setup(if ticked)+GST</t>
  </si>
  <si>
    <t xml:space="preserve">TC-018</t>
  </si>
  <si>
    <t xml:space="preserve">Perpetual price for 200 monitored users</t>
  </si>
  <si>
    <t xml:space="preserve">Set Monitored users = 200; read the licence line in the price panel</t>
  </si>
  <si>
    <t xml:space="preserve">Licence price shows exactly ₹90,000 (milestone exact); GST 18% on top; total = licence+setup(if ticked)+GST</t>
  </si>
  <si>
    <t xml:space="preserve">TC-019</t>
  </si>
  <si>
    <t xml:space="preserve">201+ users = Custom Quote, never a price</t>
  </si>
  <si>
    <t xml:space="preserve">Set users = 201, then 500</t>
  </si>
  <si>
    <t xml:space="preserve">Panel shows 'Custom quotation', Pay button disabled → 'Contact us for a custom quote'; NO amount displayed; order POST returns 422</t>
  </si>
  <si>
    <t xml:space="preserve">TC-020</t>
  </si>
  <si>
    <t xml:space="preserve">Below configured minimum blocked</t>
  </si>
  <si>
    <t xml:space="preserve">Set users = 4</t>
  </si>
  <si>
    <t xml:space="preserve">Panel/submit shows 'Minimum On-Premise licence capacity is 5 users.'; Pay disabled; order POST returns 422</t>
  </si>
  <si>
    <t xml:space="preserve">TC-021</t>
  </si>
  <si>
    <t xml:space="preserve">Backend is the price authority</t>
  </si>
  <si>
    <t xml:space="preserve">Browser dev-tools open</t>
  </si>
  <si>
    <t xml:space="preserve">Tamper the JS-displayed price, submit the buy form for 61 users, inspect the created order in Central admin</t>
  </si>
  <si>
    <t xml:space="preserve">Order line = ₹44,400 (server-priced); tampered figure ignored</t>
  </si>
  <si>
    <t xml:space="preserve">TC-022</t>
  </si>
  <si>
    <t xml:space="preserve">P2</t>
  </si>
  <si>
    <t xml:space="preserve">Setup fee scales per user</t>
  </si>
  <si>
    <t xml:space="preserve">Tick Remote Assisted Setup at 61 users, then 30 users</t>
  </si>
  <si>
    <t xml:space="preserve">Setup = ₹8,100 at 61 (5,000 + 31×100); ₹5,000 at 30 (covered)</t>
  </si>
  <si>
    <t xml:space="preserve">TC-023</t>
  </si>
  <si>
    <t xml:space="preserve">USD mode display</t>
  </si>
  <si>
    <t xml:space="preserve">Currency = USD</t>
  </si>
  <si>
    <t xml:space="preserve">Pick 61 users perpetual</t>
  </si>
  <si>
    <t xml:space="preserve">Price converts at admin USD rate; GST shows 'export (0%)'</t>
  </si>
  <si>
    <t xml:space="preserve">TC-024</t>
  </si>
  <si>
    <t xml:space="preserve">Pricing — Trial/Sign-up page</t>
  </si>
  <si>
    <t xml:space="preserve">Sign-up page calculator matches /buy</t>
  </si>
  <si>
    <t xml:space="preserve">Same bands; /client sign-in page pricing panel</t>
  </si>
  <si>
    <t xml:space="preserve">Set 61 users, Perpetual</t>
  </si>
  <si>
    <t xml:space="preserve">Shows ₹44,400 — identical to /buy</t>
  </si>
  <si>
    <t xml:space="preserve">TC-025</t>
  </si>
  <si>
    <t xml:space="preserve">Trial account NOT created before OTP</t>
  </si>
  <si>
    <t xml:space="preserve">Fresh email, honeypot empty</t>
  </si>
  <si>
    <t xml:space="preserve">Fill trial form → 'request OTP' → do NOT verify; check Central admin Trials/Tenants</t>
  </si>
  <si>
    <t xml:space="preserve">OTP email received; NO tenant/user exists yet</t>
  </si>
  <si>
    <t xml:space="preserve">TC-026</t>
  </si>
  <si>
    <t xml:space="preserve">Wrong OTP rejected, right OTP creates trial</t>
  </si>
  <si>
    <t xml:space="preserve">OTP requested</t>
  </si>
  <si>
    <t xml:space="preserve">Submit wrong 6-digit code, then the correct one</t>
  </si>
  <si>
    <t xml:space="preserve">Wrong → 'code is wrong or expired', nothing created; correct → tenant status=trial + portal user created, auto-login</t>
  </si>
  <si>
    <t xml:space="preserve">TC-027</t>
  </si>
  <si>
    <t xml:space="preserve">Honeypot blocks bots silently</t>
  </si>
  <si>
    <t xml:space="preserve">Fill hidden website_hp field via dev-tools</t>
  </si>
  <si>
    <t xml:space="preserve">Submit trial step 1</t>
  </si>
  <si>
    <t xml:space="preserve">Fake success message, NO OTP issued, no email sent</t>
  </si>
  <si>
    <t xml:space="preserve">TC-028</t>
  </si>
  <si>
    <t xml:space="preserve">Pricing — Client portal</t>
  </si>
  <si>
    <t xml:space="preserve">Portal buy panel uses server quote</t>
  </si>
  <si>
    <t xml:space="preserve">Log in as a client, portal → Buy/Upgrade</t>
  </si>
  <si>
    <t xml:space="preserve">Pick Perpetual, 61 users</t>
  </si>
  <si>
    <t xml:space="preserve">Quote lines from server show ₹44,400 licence; totals include GST</t>
  </si>
  <si>
    <t xml:space="preserve">TC-029</t>
  </si>
  <si>
    <t xml:space="preserve">Portal custom-quote count</t>
  </si>
  <si>
    <t xml:space="preserve">Same</t>
  </si>
  <si>
    <t xml:space="preserve">Set 250 users Perpetual</t>
  </si>
  <si>
    <t xml:space="preserve">Server message 'For more than 200 users, please request a custom quotation.' — no price, no order</t>
  </si>
  <si>
    <t xml:space="preserve">TC-030</t>
  </si>
  <si>
    <t xml:space="preserve">Portal below-minimum count</t>
  </si>
  <si>
    <t xml:space="preserve">Set 3 users Perpetual</t>
  </si>
  <si>
    <t xml:space="preserve">422 'Minimum On-Premise licence capacity is 5 users.'</t>
  </si>
  <si>
    <t xml:space="preserve">TC-031</t>
  </si>
  <si>
    <t xml:space="preserve">Pricing — Landing page</t>
  </si>
  <si>
    <t xml:space="preserve">Landing slider interpolates like /buy</t>
  </si>
  <si>
    <t xml:space="preserve">Hard refresh smartept.com/#pricing, On-premises tab</t>
  </si>
  <si>
    <t xml:space="preserve">Drag slider to 41, 47, 61</t>
  </si>
  <si>
    <t xml:space="preserve">₹33,250 · ₹37,750 · ₹44,400 — matches /buy exactly</t>
  </si>
  <si>
    <t xml:space="preserve">TC-032</t>
  </si>
  <si>
    <t xml:space="preserve">Landing above top milestone</t>
  </si>
  <si>
    <t xml:space="preserve">Drag past 200</t>
  </si>
  <si>
    <t xml:space="preserve">'Custom quotation' + WhatsApp contact button; no price</t>
  </si>
  <si>
    <t xml:space="preserve">TC-033</t>
  </si>
  <si>
    <t xml:space="preserve">Hero price = first-band (minimum package) price</t>
  </si>
  <si>
    <t xml:space="preserve">Landing top section</t>
  </si>
  <si>
    <t xml:space="preserve">Read hero price figure</t>
  </si>
  <si>
    <t xml:space="preserve">Equals the configured first-band price (₹15,000 with example bands)</t>
  </si>
  <si>
    <t xml:space="preserve">TC-034</t>
  </si>
  <si>
    <t xml:space="preserve">Admin — Pricing band editor</t>
  </si>
  <si>
    <t xml:space="preserve">Overlap rejected</t>
  </si>
  <si>
    <t xml:space="preserve">Central /admin → Plans &amp; Pricing → On-Premise Lifetime bands (super admin)</t>
  </si>
  <si>
    <t xml:space="preserve">Save bands 5–15 and 10–30</t>
  </si>
  <si>
    <t xml:space="preserve">422 'Bands must not overlap or duplicate…'; nothing saved</t>
  </si>
  <si>
    <t xml:space="preserve">TC-035</t>
  </si>
  <si>
    <t xml:space="preserve">Gap rejected</t>
  </si>
  <si>
    <t xml:space="preserve">Save bands 5–15 and 20–30</t>
  </si>
  <si>
    <t xml:space="preserve">422 'No gaps allowed… next must start at 16'</t>
  </si>
  <si>
    <t xml:space="preserve">TC-036</t>
  </si>
  <si>
    <t xml:space="preserve">Decreasing milestone price rejected</t>
  </si>
  <si>
    <t xml:space="preserve">Save 5–15 ₹15,000 then 16–30 ₹12,000</t>
  </si>
  <si>
    <t xml:space="preserve">422 'Milestone prices must not decrease…'</t>
  </si>
  <si>
    <t xml:space="preserve">TC-037</t>
  </si>
  <si>
    <t xml:space="preserve">Open-ended band only last</t>
  </si>
  <si>
    <t xml:space="preserve">Put a blank-Max band before a priced band</t>
  </si>
  <si>
    <t xml:space="preserve">422 'Only the final band may be open-ended…'</t>
  </si>
  <si>
    <t xml:space="preserve">TC-038</t>
  </si>
  <si>
    <t xml:space="preserve">Priced band needs positive price</t>
  </si>
  <si>
    <t xml:space="preserve">Save a band with price 0</t>
  </si>
  <si>
    <t xml:space="preserve">422 'Every automatically priced band needs a positive milestone price…'</t>
  </si>
  <si>
    <t xml:space="preserve">TC-039</t>
  </si>
  <si>
    <t xml:space="preserve">Open band saves as Custom Quote (price NULL)</t>
  </si>
  <si>
    <t xml:space="preserve">Add final band Min 201, Max blank; Save; reload</t>
  </si>
  <si>
    <t xml:space="preserve">Price input disabled showing 'Custom Quote'; DB price_inr NULL (never 0)</t>
  </si>
  <si>
    <t xml:space="preserve">TC-040</t>
  </si>
  <si>
    <t xml:space="preserve">Re-price is fully dynamic</t>
  </si>
  <si>
    <t xml:space="preserve">Change 101–150 to ₹80,000 and 151–200 to ₹1,00,000; Save; wait ≤5 min; check /buy at 151</t>
  </si>
  <si>
    <t xml:space="preserve">₹80,400 (80,000 + 1×400) — no code change needed; revert bands after test</t>
  </si>
  <si>
    <t xml:space="preserve">TC-041</t>
  </si>
  <si>
    <t xml:space="preserve">Column heading + note updated</t>
  </si>
  <si>
    <t xml:space="preserve">Read the editor</t>
  </si>
  <si>
    <t xml:space="preserve">Heading '₹ price at Max users (milestone)'; note 'Prices between user milestones are calculated proportionately…'</t>
  </si>
  <si>
    <t xml:space="preserve">TC-042</t>
  </si>
  <si>
    <t xml:space="preserve">Admin — Delete controls</t>
  </si>
  <si>
    <t xml:space="preserve">Delete a quote with ₹0 received</t>
  </si>
  <si>
    <t xml:space="preserve">Central /admin → Orders &amp; Payments (super admin)</t>
  </si>
  <si>
    <t xml:space="preserve">Find a test quote (received 0, no licence) → red Delete → confirm</t>
  </si>
  <si>
    <t xml:space="preserve">Row gone; its unpaid invoice (if any) gone; Audit Log shows order.deleted</t>
  </si>
  <si>
    <t xml:space="preserve">TC-043</t>
  </si>
  <si>
    <t xml:space="preserve">Money-bearing order can NEVER be deleted</t>
  </si>
  <si>
    <t xml:space="preserve">Attempt DELETE (via UI absence / direct API) on an order with any payment recorded</t>
  </si>
  <si>
    <t xml:space="preserve">No Delete link shown; direct API returns 422 'money-bearing orders can never be deleted'</t>
  </si>
  <si>
    <t xml:space="preserve">TC-044</t>
  </si>
  <si>
    <t xml:space="preserve">Licence-linked order blocked</t>
  </si>
  <si>
    <t xml:space="preserve">Attempt delete on an order linked to a licence</t>
  </si>
  <si>
    <t xml:space="preserve">Blocked with licence-key message</t>
  </si>
  <si>
    <t xml:space="preserve">TC-045</t>
  </si>
  <si>
    <t xml:space="preserve">Invoice delete warns about FY gap</t>
  </si>
  <si>
    <t xml:space="preserve">Central /admin → Invoices (super)</t>
  </si>
  <si>
    <t xml:space="preserve">Click Delete on a test invoice; read the confirm; accept</t>
  </si>
  <si>
    <t xml:space="preserve">Warning mentions permanent FY-series numbering gap; row deleted; audit invoice.deleted</t>
  </si>
  <si>
    <t xml:space="preserve">TC-046</t>
  </si>
  <si>
    <t xml:space="preserve">Non-super roles see no Delete</t>
  </si>
  <si>
    <t xml:space="preserve">Log in as sales/support role</t>
  </si>
  <si>
    <t xml:space="preserve">Open Orders &amp; Invoices screens</t>
  </si>
  <si>
    <t xml:space="preserve">No red Delete links anywhere; DELETE APIs return 403</t>
  </si>
  <si>
    <t xml:space="preserve">TC-047</t>
  </si>
  <si>
    <t xml:space="preserve">Credit Clients rows unaffected</t>
  </si>
  <si>
    <t xml:space="preserve">Credit Clients screen</t>
  </si>
  <si>
    <t xml:space="preserve">Verify the 3 outstanding-balance rows</t>
  </si>
  <si>
    <t xml:space="preserve">Still listed (they have money → protected); Record balance/Pay link work</t>
  </si>
  <si>
    <t xml:space="preserve">TC-048</t>
  </si>
  <si>
    <t xml:space="preserve">Buy page — Coupon visibility</t>
  </si>
  <si>
    <t xml:space="preserve">Disabled coupon hides the box</t>
  </si>
  <si>
    <t xml:space="preserve">Only coupon WINTER26 exists, status OFF</t>
  </si>
  <si>
    <t xml:space="preserve">Hard refresh /buy</t>
  </si>
  <si>
    <t xml:space="preserve">No 'Coupon code' field anywhere; page JS error-free (console clean)</t>
  </si>
  <si>
    <t xml:space="preserve">TC-049</t>
  </si>
  <si>
    <t xml:space="preserve">Enabling the coupon restores the box</t>
  </si>
  <si>
    <t xml:space="preserve">Enable WINTER26 in admin</t>
  </si>
  <si>
    <t xml:space="preserve">Reload /buy</t>
  </si>
  <si>
    <t xml:space="preserve">Coupon field back; applying WINTER26 gives 15% off (≥10 devices condition respected)</t>
  </si>
  <si>
    <t xml:space="preserve">TC-050</t>
  </si>
  <si>
    <t xml:space="preserve">Expired/used-up coupons count as not live</t>
  </si>
  <si>
    <t xml:space="preserve">Set validity in the past OR uses 5/5</t>
  </si>
  <si>
    <t xml:space="preserve">Box hidden again</t>
  </si>
  <si>
    <t xml:space="preserve">TC-051</t>
  </si>
  <si>
    <t xml:space="preserve">Disabled code rejected server-side regardless</t>
  </si>
  <si>
    <t xml:space="preserve">Coupon off; box forced via dev-tools</t>
  </si>
  <si>
    <t xml:space="preserve">POST coupon-check with WINTER26</t>
  </si>
  <si>
    <t xml:space="preserve">'not valid (inactive)' — no discount applied</t>
  </si>
  <si>
    <t xml:space="preserve">TC-052</t>
  </si>
  <si>
    <t xml:space="preserve">Central — Dunning fix (live)</t>
  </si>
  <si>
    <t xml:space="preserve">smartept:dunning runs clean</t>
  </si>
  <si>
    <t xml:space="preserve">VPS after git pull + migrate --force</t>
  </si>
  <si>
    <t xml:space="preserve">php artisan smartept:dunning</t>
  </si>
  <si>
    <t xml:space="preserve">Exit 0; no SQLSTATE 1265; log shows 'Purged (closed out): …' for tenant #7</t>
  </si>
  <si>
    <t xml:space="preserve">TC-053</t>
  </si>
  <si>
    <t xml:space="preserve">tenants.status accepts 'purged'</t>
  </si>
  <si>
    <t xml:space="preserve">DB access</t>
  </si>
  <si>
    <t xml:space="preserve">SHOW COLUMNS FROM tenants LIKE 'status'</t>
  </si>
  <si>
    <t xml:space="preserve">Type VARCHAR(20), default 'trial'; tenant #7 status='purged'</t>
  </si>
  <si>
    <t xml:space="preserve">TC-054</t>
  </si>
  <si>
    <t xml:space="preserve">Hourly scheduler stays clean</t>
  </si>
  <si>
    <t xml:space="preserve">Wait one top-of-hour</t>
  </si>
  <si>
    <t xml:space="preserve">Check laravel.log + System Health Recent errors</t>
  </si>
  <si>
    <t xml:space="preserve">No new dunning errors; Recent errors count drops</t>
  </si>
  <si>
    <t xml:space="preserve">TC-055</t>
  </si>
  <si>
    <t xml:space="preserve">Central — Branding &amp; misc</t>
  </si>
  <si>
    <t xml:space="preserve">No ™/® anywhere</t>
  </si>
  <si>
    <t xml:space="preserve">Hard refresh /buy and /client sign-in</t>
  </si>
  <si>
    <t xml:space="preserve">Read the footers</t>
  </si>
  <si>
    <t xml:space="preserve">'SmartEPT · Developed by Ametecs India Private Limited · © 2026. All rights reserved.' — no ™/®; © intact</t>
  </si>
  <si>
    <t xml:space="preserve">TC-056</t>
  </si>
  <si>
    <t xml:space="preserve">Licence signing key live after pull</t>
  </si>
  <si>
    <t xml:space="preserve">VPS: git pull, chmod 600/chown done</t>
  </si>
  <si>
    <t xml:space="preserve">Re-run System Health; issue a test .lic from a licence card</t>
  </si>
  <si>
    <t xml:space="preserve">'Licence signing key' check green; .lic file generates and imports in a product install</t>
  </si>
  <si>
    <t xml:space="preserve">TC-057</t>
  </si>
  <si>
    <t xml:space="preserve">Hosted-console link green</t>
  </si>
  <si>
    <t xml:space="preserve">Secrets set on both sides (Central Settings + product .env)</t>
  </si>
  <si>
    <t xml:space="preserve">Re-run System Health; provision a test cloud tenant</t>
  </si>
  <si>
    <t xml:space="preserve">Check green; tenant console created at admin.smartept.com/&lt;slug&gt;; SSO one-click works</t>
  </si>
  <si>
    <t xml:space="preserve">TC-058</t>
  </si>
  <si>
    <t xml:space="preserve">WhatsApp (Interakt) active</t>
  </si>
  <si>
    <t xml:space="preserve">API key saved, status active</t>
  </si>
  <si>
    <t xml:space="preserve">Re-run System Health; send a template test to own number</t>
  </si>
  <si>
    <t xml:space="preserve">Check green; message delivered</t>
  </si>
  <si>
    <t xml:space="preserve">TC-059</t>
  </si>
  <si>
    <t xml:space="preserve">Product — Login &amp; seeder fix</t>
  </si>
  <si>
    <t xml:space="preserve">Fresh seed logins work</t>
  </si>
  <si>
    <t xml:space="preserve">LOCAL ONLY: php artisan migrate:fresh --seed (test DB!)</t>
  </si>
  <si>
    <t xml:space="preserve">Login super@smartept.io / password at smartept.test/admin</t>
  </si>
  <si>
    <t xml:space="preserve">Login succeeds (double-hash bug fixed). NEVER run fresh-seed on live.</t>
  </si>
  <si>
    <t xml:space="preserve">TC-060</t>
  </si>
  <si>
    <t xml:space="preserve">Tinker unlock for existing installs</t>
  </si>
  <si>
    <t xml:space="preserve">Existing DB (local or live)</t>
  </si>
  <si>
    <t xml:space="preserve">Run the forceFill tinker one-liner; login with the new password</t>
  </si>
  <si>
    <t xml:space="preserve">Login succeeds; then change the password from the UI immediately</t>
  </si>
  <si>
    <t xml:space="preserve">TC-061</t>
  </si>
  <si>
    <t xml:space="preserve">All seeded live passwords changed</t>
  </si>
  <si>
    <t xml:space="preserve">Live admin.smartept.com</t>
  </si>
  <si>
    <t xml:space="preserve">Verify super@smartept.io + admin/manager/hr/compliance@ametecs.io no longer use 'password'</t>
  </si>
  <si>
    <t xml:space="preserve">Old password rejected for every account</t>
  </si>
  <si>
    <t xml:space="preserve">TC-062</t>
  </si>
  <si>
    <t xml:space="preserve">Product — Email / SMTP settings</t>
  </si>
  <si>
    <t xml:space="preserve">Super sees both sections</t>
  </si>
  <si>
    <t xml:space="preserve">Login as SUPER_ADMIN</t>
  </si>
  <si>
    <t xml:space="preserve">Open Ops</t>
  </si>
  <si>
    <t xml:space="preserve">'Global default relay' section visible (+ company section only when super belongs to a company)</t>
  </si>
  <si>
    <t xml:space="preserve">TC-063</t>
  </si>
  <si>
    <t xml:space="preserve">Company admin sees only company section</t>
  </si>
  <si>
    <t xml:space="preserve">Login as COMPANY_ADMIN</t>
  </si>
  <si>
    <t xml:space="preserve">Company SMTP section visible; global section absent; other roles see no card at all</t>
  </si>
  <si>
    <t xml:space="preserve">TC-064</t>
  </si>
  <si>
    <t xml:space="preserve">Save global relay + test</t>
  </si>
  <si>
    <t xml:space="preserve">Product console → Ops screen → Email / SMTP card</t>
  </si>
  <si>
    <t xml:space="preserve">Fill host/port/user/password/from → Save → Send test email</t>
  </si>
  <si>
    <t xml:space="preserve">'✓ Saved'; test lands in super's inbox; wrong password shows the relay's real error</t>
  </si>
  <si>
    <t xml:space="preserve">TC-065</t>
  </si>
  <si>
    <t xml:space="preserve">Company relay used for company mail</t>
  </si>
  <si>
    <t xml:space="preserve">Company SMTP configured with distinct From</t>
  </si>
  <si>
    <t xml:space="preserve">Trigger a mail for that company's user (e.g. forgot-password OTP)</t>
  </si>
  <si>
    <t xml:space="preserve">Email arrives via the company relay with company From; mail_logs row status=sent</t>
  </si>
  <si>
    <t xml:space="preserve">TC-066</t>
  </si>
  <si>
    <t xml:space="preserve">Fallback to global when no company SMTP</t>
  </si>
  <si>
    <t xml:space="preserve">Clear the company host; Save</t>
  </si>
  <si>
    <t xml:space="preserve">Trigger the same company mail</t>
  </si>
  <si>
    <t xml:space="preserve">Sent via global relay (override removed); mail_logs sent</t>
  </si>
  <si>
    <t xml:space="preserve">TC-067</t>
  </si>
  <si>
    <t xml:space="preserve">Password never echoed; blank keeps saved</t>
  </si>
  <si>
    <t xml:space="preserve">Reload after save; save again with blank password</t>
  </si>
  <si>
    <t xml:space="preserve">Password field empty with 'saved — type only to replace'; old password still works</t>
  </si>
  <si>
    <t xml:space="preserve">TC-068</t>
  </si>
  <si>
    <t xml:space="preserve">Saves audit-logged</t>
  </si>
  <si>
    <t xml:space="preserve">Ops → Audit trail</t>
  </si>
  <si>
    <t xml:space="preserve">Search SETTINGS_MAIL</t>
  </si>
  <si>
    <t xml:space="preserve">SETTINGS_MAIL_GLOBAL_UPDATE / _COMPANY_UPDATE rows with actor + host</t>
  </si>
  <si>
    <t xml:space="preserve">TC-069</t>
  </si>
  <si>
    <t xml:space="preserve">Product — Forgot password (OTP)</t>
  </si>
  <si>
    <t xml:space="preserve">Link and flow visible</t>
  </si>
  <si>
    <t xml:space="preserve">Console login card (smartept.test/admin or /&lt;slug&gt;)</t>
  </si>
  <si>
    <t xml:space="preserve">Click 'Forgot password?'</t>
  </si>
  <si>
    <t xml:space="preserve">Panel opens: 'Email me a reset code' → after send, OTP + new-password fields appear</t>
  </si>
  <si>
    <t xml:space="preserve">TC-070</t>
  </si>
  <si>
    <t xml:space="preserve">Unknown email = neutral answer</t>
  </si>
  <si>
    <t xml:space="preserve">Request code for a non-existent email</t>
  </si>
  <si>
    <t xml:space="preserve">Same 'If that email has an account…' message; NO email sent; no account disclosure</t>
  </si>
  <si>
    <t xml:space="preserve">TC-071</t>
  </si>
  <si>
    <t xml:space="preserve">OTP arrives and resets password</t>
  </si>
  <si>
    <t xml:space="preserve">Real user with email on file</t>
  </si>
  <si>
    <t xml:space="preserve">Request code; enter it + new password (≥8); sign in with the new password</t>
  </si>
  <si>
    <t xml:space="preserve">Reset succeeds; old password dead; must_change_password cleared; audit rows present</t>
  </si>
  <si>
    <t xml:space="preserve">TC-072</t>
  </si>
  <si>
    <t xml:space="preserve">Wrong OTP limited to 5 attempts</t>
  </si>
  <si>
    <t xml:space="preserve">Code requested</t>
  </si>
  <si>
    <t xml:space="preserve">Enter wrong codes 5 times, then the right one</t>
  </si>
  <si>
    <t xml:space="preserve">After 5 fails the code is dead ('expired — request a new one'), right code no longer works</t>
  </si>
  <si>
    <t xml:space="preserve">TC-073</t>
  </si>
  <si>
    <t xml:space="preserve">Code expires after 10 minutes</t>
  </si>
  <si>
    <t xml:space="preserve">Wait &gt;10 min, then enter it</t>
  </si>
  <si>
    <t xml:space="preserve">'That code has expired — request a new one.'</t>
  </si>
  <si>
    <t xml:space="preserve">TC-074</t>
  </si>
  <si>
    <t xml:space="preserve">Short password rejected</t>
  </si>
  <si>
    <t xml:space="preserve">Valid code</t>
  </si>
  <si>
    <t xml:space="preserve">Try a 5-character password</t>
  </si>
  <si>
    <t xml:space="preserve">Validation error min 8; OTP still usable</t>
  </si>
  <si>
    <t xml:space="preserve">TC-075</t>
  </si>
  <si>
    <t xml:space="preserve">Employee accounts can reset too</t>
  </si>
  <si>
    <t xml:space="preserve">EMPLOYEE-role user with email</t>
  </si>
  <si>
    <t xml:space="preserve">Full flow from the employee's login</t>
  </si>
  <si>
    <t xml:space="preserve">Works identically; employee portal opens after</t>
  </si>
  <si>
    <t xml:space="preserve">TC-076</t>
  </si>
  <si>
    <t xml:space="preserve">Branded slug page stays tenant-locked</t>
  </si>
  <si>
    <t xml:space="preserve">Company A user, open company B's /slug login</t>
  </si>
  <si>
    <t xml:space="preserve">Request reset for the A user from B's page</t>
  </si>
  <si>
    <t xml:space="preserve">Neutral message but NO code issued (workspace mismatch)</t>
  </si>
  <si>
    <t xml:space="preserve">TC-077</t>
  </si>
  <si>
    <t xml:space="preserve">Request throttle</t>
  </si>
  <si>
    <t xml:space="preserve">Request codes 6+ times within a minute</t>
  </si>
  <si>
    <t xml:space="preserve">429 after the 5th; resumes next minute</t>
  </si>
  <si>
    <t xml:space="preserve">SmartEPT Session Test Suite — Execution Summary</t>
  </si>
  <si>
    <t xml:space="preserve">Fill ONLY the yellow columns on 'Test Cases': Status (PASS / FAIL / BLOCKED), Tested By (your name, e.g. R. Sharma), Remarks (defect notes / evidence link).</t>
  </si>
  <si>
    <t xml:space="preserve">Priorities: P1 = must pass before deploy/sign-off · P2 = should pass. Every P1 FAIL must be reported to Ejaz sir immediately.</t>
  </si>
  <si>
    <t xml:space="preserve">Cases</t>
  </si>
  <si>
    <t xml:space="preserve">Executed</t>
  </si>
  <si>
    <t xml:space="preserve">Passed</t>
  </si>
  <si>
    <t xml:space="preserve">Failed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</si>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</sst>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6373"/>
      <name val="Arial"/>
      <family val="0"/>
      <charset val="1"/>
    </font>
    <font>
      <i val="true"/>
      <sz val="9.5"/>
      <color rgb="FF565A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D02748"/>
      <name val="Arial"/>
      <family val="0"/>
      <charset val="1"/>
    </font>
    <font>
      <b val="true"/>
      <sz val="9.5"/>
      <color rgb="FFB7791F"/>
      <name val="Arial"/>
      <family val="0"/>
      <charset val="1"/>
    </font>
    <font>
      <b val="true"/>
      <sz val="10"/>
      <color rgb="FF0B637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7C8F"/>
        <bgColor rgb="FF0B6373"/>
      </patternFill>
    </fill>
    <fill>
      <patternFill patternType="solid">
        <fgColor rgb="FFFFF6CC"/>
        <bgColor rgb="FFF0F1F4"/>
      </patternFill>
    </fill>
    <fill>
      <patternFill patternType="solid">
        <fgColor rgb="FFFAFBFC"/>
        <bgColor rgb="FFFFFFFF"/>
      </patternFill>
    </fill>
    <fill>
      <patternFill patternType="solid">
        <fgColor rgb="FFE3F4F7"/>
        <bgColor rgb="FFF0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0F1F4"/>
      </left>
      <right style="thin">
        <color rgb="FFF0F1F4"/>
      </right>
      <top style="thin">
        <color rgb="FFF0F1F4"/>
      </top>
      <bottom style="thin">
        <color rgb="FFF0F1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E7C8F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02748"/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E7C8F"/>
      <rgbColor rgb="FFC0C0C0"/>
      <rgbColor rgb="FF808080"/>
      <rgbColor rgb="FF9999FF"/>
      <rgbColor rgb="FFD02748"/>
      <rgbColor rgb="FFFFF6CC"/>
      <rgbColor rgb="FFE3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B6373"/>
      <rgbColor rgb="FF0000FF"/>
      <rgbColor rgb="FF00CCFF"/>
      <rgbColor rgb="FFF0F1F4"/>
      <rgbColor rgb="FFFAFB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8.5"/>
    <col collapsed="false" customWidth="true" hidden="false" outlineLevel="0" max="5" min="4" style="0" width="34"/>
    <col collapsed="false" customWidth="true" hidden="false" outlineLevel="0" max="6" min="6" style="0" width="40"/>
    <col collapsed="false" customWidth="true" hidden="false" outlineLevel="0" max="7" min="7" style="0" width="4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6.25" hidden="false" customHeight="false" outlineLevel="0" collapsed="false">
      <c r="A5" s="4" t="s">
        <v>12</v>
      </c>
      <c r="B5" s="4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"/>
      <c r="I5" s="6"/>
      <c r="J5" s="6"/>
    </row>
    <row r="6" customFormat="false" ht="46.25" hidden="false" customHeight="false" outlineLevel="0" collapsed="false">
      <c r="A6" s="7" t="s">
        <v>19</v>
      </c>
      <c r="B6" s="7" t="s">
        <v>13</v>
      </c>
      <c r="C6" s="8" t="s">
        <v>14</v>
      </c>
      <c r="D6" s="7" t="s">
        <v>20</v>
      </c>
      <c r="E6" s="7" t="s">
        <v>16</v>
      </c>
      <c r="F6" s="7" t="s">
        <v>21</v>
      </c>
      <c r="G6" s="7" t="s">
        <v>22</v>
      </c>
      <c r="H6" s="6"/>
      <c r="I6" s="6"/>
      <c r="J6" s="6"/>
    </row>
    <row r="7" customFormat="false" ht="46.25" hidden="false" customHeight="false" outlineLevel="0" collapsed="false">
      <c r="A7" s="4" t="s">
        <v>23</v>
      </c>
      <c r="B7" s="4" t="s">
        <v>13</v>
      </c>
      <c r="C7" s="5" t="s">
        <v>14</v>
      </c>
      <c r="D7" s="4" t="s">
        <v>24</v>
      </c>
      <c r="E7" s="4" t="s">
        <v>16</v>
      </c>
      <c r="F7" s="4" t="s">
        <v>25</v>
      </c>
      <c r="G7" s="4" t="s">
        <v>26</v>
      </c>
      <c r="H7" s="6"/>
      <c r="I7" s="6"/>
      <c r="J7" s="6"/>
    </row>
    <row r="8" customFormat="false" ht="46.25" hidden="false" customHeight="false" outlineLevel="0" collapsed="false">
      <c r="A8" s="7" t="s">
        <v>27</v>
      </c>
      <c r="B8" s="7" t="s">
        <v>13</v>
      </c>
      <c r="C8" s="8" t="s">
        <v>14</v>
      </c>
      <c r="D8" s="7" t="s">
        <v>28</v>
      </c>
      <c r="E8" s="7" t="s">
        <v>16</v>
      </c>
      <c r="F8" s="7" t="s">
        <v>29</v>
      </c>
      <c r="G8" s="7" t="s">
        <v>30</v>
      </c>
      <c r="H8" s="6"/>
      <c r="I8" s="6"/>
      <c r="J8" s="6"/>
    </row>
    <row r="9" customFormat="false" ht="46.25" hidden="false" customHeight="false" outlineLevel="0" collapsed="false">
      <c r="A9" s="4" t="s">
        <v>31</v>
      </c>
      <c r="B9" s="4" t="s">
        <v>13</v>
      </c>
      <c r="C9" s="5" t="s">
        <v>14</v>
      </c>
      <c r="D9" s="4" t="s">
        <v>32</v>
      </c>
      <c r="E9" s="4" t="s">
        <v>16</v>
      </c>
      <c r="F9" s="4" t="s">
        <v>33</v>
      </c>
      <c r="G9" s="4" t="s">
        <v>34</v>
      </c>
      <c r="H9" s="6"/>
      <c r="I9" s="6"/>
      <c r="J9" s="6"/>
    </row>
    <row r="10" customFormat="false" ht="46.25" hidden="false" customHeight="false" outlineLevel="0" collapsed="false">
      <c r="A10" s="7" t="s">
        <v>35</v>
      </c>
      <c r="B10" s="7" t="s">
        <v>13</v>
      </c>
      <c r="C10" s="8" t="s">
        <v>14</v>
      </c>
      <c r="D10" s="7" t="s">
        <v>36</v>
      </c>
      <c r="E10" s="7" t="s">
        <v>16</v>
      </c>
      <c r="F10" s="7" t="s">
        <v>37</v>
      </c>
      <c r="G10" s="7" t="s">
        <v>38</v>
      </c>
      <c r="H10" s="6"/>
      <c r="I10" s="6"/>
      <c r="J10" s="6"/>
    </row>
    <row r="11" customFormat="false" ht="46.25" hidden="false" customHeight="false" outlineLevel="0" collapsed="false">
      <c r="A11" s="4" t="s">
        <v>39</v>
      </c>
      <c r="B11" s="4" t="s">
        <v>13</v>
      </c>
      <c r="C11" s="5" t="s">
        <v>14</v>
      </c>
      <c r="D11" s="4" t="s">
        <v>40</v>
      </c>
      <c r="E11" s="4" t="s">
        <v>16</v>
      </c>
      <c r="F11" s="4" t="s">
        <v>41</v>
      </c>
      <c r="G11" s="4" t="s">
        <v>42</v>
      </c>
      <c r="H11" s="6"/>
      <c r="I11" s="6"/>
      <c r="J11" s="6"/>
    </row>
    <row r="12" customFormat="false" ht="46.25" hidden="false" customHeight="false" outlineLevel="0" collapsed="false">
      <c r="A12" s="7" t="s">
        <v>43</v>
      </c>
      <c r="B12" s="7" t="s">
        <v>13</v>
      </c>
      <c r="C12" s="8" t="s">
        <v>14</v>
      </c>
      <c r="D12" s="7" t="s">
        <v>44</v>
      </c>
      <c r="E12" s="7" t="s">
        <v>16</v>
      </c>
      <c r="F12" s="7" t="s">
        <v>45</v>
      </c>
      <c r="G12" s="7" t="s">
        <v>46</v>
      </c>
      <c r="H12" s="6"/>
      <c r="I12" s="6"/>
      <c r="J12" s="6"/>
    </row>
    <row r="13" customFormat="false" ht="46.25" hidden="false" customHeight="false" outlineLevel="0" collapsed="false">
      <c r="A13" s="4" t="s">
        <v>47</v>
      </c>
      <c r="B13" s="4" t="s">
        <v>13</v>
      </c>
      <c r="C13" s="5" t="s">
        <v>14</v>
      </c>
      <c r="D13" s="4" t="s">
        <v>48</v>
      </c>
      <c r="E13" s="4" t="s">
        <v>16</v>
      </c>
      <c r="F13" s="4" t="s">
        <v>49</v>
      </c>
      <c r="G13" s="4" t="s">
        <v>50</v>
      </c>
      <c r="H13" s="6"/>
      <c r="I13" s="6"/>
      <c r="J13" s="6"/>
    </row>
    <row r="14" customFormat="false" ht="46.25" hidden="false" customHeight="false" outlineLevel="0" collapsed="false">
      <c r="A14" s="7" t="s">
        <v>51</v>
      </c>
      <c r="B14" s="7" t="s">
        <v>13</v>
      </c>
      <c r="C14" s="8" t="s">
        <v>14</v>
      </c>
      <c r="D14" s="7" t="s">
        <v>52</v>
      </c>
      <c r="E14" s="7" t="s">
        <v>16</v>
      </c>
      <c r="F14" s="7" t="s">
        <v>53</v>
      </c>
      <c r="G14" s="7" t="s">
        <v>54</v>
      </c>
      <c r="H14" s="6"/>
      <c r="I14" s="6"/>
      <c r="J14" s="6"/>
    </row>
    <row r="15" customFormat="false" ht="46.25" hidden="false" customHeight="false" outlineLevel="0" collapsed="false">
      <c r="A15" s="4" t="s">
        <v>55</v>
      </c>
      <c r="B15" s="4" t="s">
        <v>13</v>
      </c>
      <c r="C15" s="5" t="s">
        <v>14</v>
      </c>
      <c r="D15" s="4" t="s">
        <v>56</v>
      </c>
      <c r="E15" s="4" t="s">
        <v>16</v>
      </c>
      <c r="F15" s="4" t="s">
        <v>57</v>
      </c>
      <c r="G15" s="4" t="s">
        <v>58</v>
      </c>
      <c r="H15" s="6"/>
      <c r="I15" s="6"/>
      <c r="J15" s="6"/>
    </row>
    <row r="16" customFormat="false" ht="46.25" hidden="false" customHeight="false" outlineLevel="0" collapsed="false">
      <c r="A16" s="7" t="s">
        <v>59</v>
      </c>
      <c r="B16" s="7" t="s">
        <v>13</v>
      </c>
      <c r="C16" s="8" t="s">
        <v>14</v>
      </c>
      <c r="D16" s="7" t="s">
        <v>60</v>
      </c>
      <c r="E16" s="7" t="s">
        <v>16</v>
      </c>
      <c r="F16" s="7" t="s">
        <v>61</v>
      </c>
      <c r="G16" s="7" t="s">
        <v>62</v>
      </c>
      <c r="H16" s="6"/>
      <c r="I16" s="6"/>
      <c r="J16" s="6"/>
    </row>
    <row r="17" customFormat="false" ht="46.25" hidden="false" customHeight="false" outlineLevel="0" collapsed="false">
      <c r="A17" s="4" t="s">
        <v>63</v>
      </c>
      <c r="B17" s="4" t="s">
        <v>13</v>
      </c>
      <c r="C17" s="5" t="s">
        <v>14</v>
      </c>
      <c r="D17" s="4" t="s">
        <v>64</v>
      </c>
      <c r="E17" s="4" t="s">
        <v>16</v>
      </c>
      <c r="F17" s="4" t="s">
        <v>65</v>
      </c>
      <c r="G17" s="4" t="s">
        <v>66</v>
      </c>
      <c r="H17" s="6"/>
      <c r="I17" s="6"/>
      <c r="J17" s="6"/>
    </row>
    <row r="18" customFormat="false" ht="46.25" hidden="false" customHeight="false" outlineLevel="0" collapsed="false">
      <c r="A18" s="7" t="s">
        <v>67</v>
      </c>
      <c r="B18" s="7" t="s">
        <v>13</v>
      </c>
      <c r="C18" s="8" t="s">
        <v>14</v>
      </c>
      <c r="D18" s="7" t="s">
        <v>68</v>
      </c>
      <c r="E18" s="7" t="s">
        <v>16</v>
      </c>
      <c r="F18" s="7" t="s">
        <v>69</v>
      </c>
      <c r="G18" s="7" t="s">
        <v>70</v>
      </c>
      <c r="H18" s="6"/>
      <c r="I18" s="6"/>
      <c r="J18" s="6"/>
    </row>
    <row r="19" customFormat="false" ht="46.25" hidden="false" customHeight="false" outlineLevel="0" collapsed="false">
      <c r="A19" s="4" t="s">
        <v>71</v>
      </c>
      <c r="B19" s="4" t="s">
        <v>13</v>
      </c>
      <c r="C19" s="5" t="s">
        <v>14</v>
      </c>
      <c r="D19" s="4" t="s">
        <v>72</v>
      </c>
      <c r="E19" s="4" t="s">
        <v>16</v>
      </c>
      <c r="F19" s="4" t="s">
        <v>73</v>
      </c>
      <c r="G19" s="4" t="s">
        <v>74</v>
      </c>
      <c r="H19" s="6"/>
      <c r="I19" s="6"/>
      <c r="J19" s="6"/>
    </row>
    <row r="20" customFormat="false" ht="46.25" hidden="false" customHeight="false" outlineLevel="0" collapsed="false">
      <c r="A20" s="7" t="s">
        <v>75</v>
      </c>
      <c r="B20" s="7" t="s">
        <v>13</v>
      </c>
      <c r="C20" s="8" t="s">
        <v>14</v>
      </c>
      <c r="D20" s="7" t="s">
        <v>76</v>
      </c>
      <c r="E20" s="7" t="s">
        <v>16</v>
      </c>
      <c r="F20" s="7" t="s">
        <v>77</v>
      </c>
      <c r="G20" s="7" t="s">
        <v>78</v>
      </c>
      <c r="H20" s="6"/>
      <c r="I20" s="6"/>
      <c r="J20" s="6"/>
    </row>
    <row r="21" customFormat="false" ht="46.25" hidden="false" customHeight="false" outlineLevel="0" collapsed="false">
      <c r="A21" s="4" t="s">
        <v>79</v>
      </c>
      <c r="B21" s="4" t="s">
        <v>13</v>
      </c>
      <c r="C21" s="5" t="s">
        <v>14</v>
      </c>
      <c r="D21" s="4" t="s">
        <v>80</v>
      </c>
      <c r="E21" s="4" t="s">
        <v>16</v>
      </c>
      <c r="F21" s="4" t="s">
        <v>81</v>
      </c>
      <c r="G21" s="4" t="s">
        <v>82</v>
      </c>
      <c r="H21" s="6"/>
      <c r="I21" s="6"/>
      <c r="J21" s="6"/>
    </row>
    <row r="22" customFormat="false" ht="46.25" hidden="false" customHeight="false" outlineLevel="0" collapsed="false">
      <c r="A22" s="7" t="s">
        <v>83</v>
      </c>
      <c r="B22" s="7" t="s">
        <v>13</v>
      </c>
      <c r="C22" s="8" t="s">
        <v>14</v>
      </c>
      <c r="D22" s="7" t="s">
        <v>84</v>
      </c>
      <c r="E22" s="7" t="s">
        <v>16</v>
      </c>
      <c r="F22" s="7" t="s">
        <v>85</v>
      </c>
      <c r="G22" s="7" t="s">
        <v>86</v>
      </c>
      <c r="H22" s="6"/>
      <c r="I22" s="6"/>
      <c r="J22" s="6"/>
    </row>
    <row r="23" customFormat="false" ht="46.25" hidden="false" customHeight="false" outlineLevel="0" collapsed="false">
      <c r="A23" s="4" t="s">
        <v>87</v>
      </c>
      <c r="B23" s="4" t="s">
        <v>13</v>
      </c>
      <c r="C23" s="5" t="s">
        <v>14</v>
      </c>
      <c r="D23" s="4" t="s">
        <v>88</v>
      </c>
      <c r="E23" s="4" t="s">
        <v>16</v>
      </c>
      <c r="F23" s="4" t="s">
        <v>89</v>
      </c>
      <c r="G23" s="4" t="s">
        <v>90</v>
      </c>
      <c r="H23" s="6"/>
      <c r="I23" s="6"/>
      <c r="J23" s="6"/>
    </row>
    <row r="24" customFormat="false" ht="46.25" hidden="false" customHeight="false" outlineLevel="0" collapsed="false">
      <c r="A24" s="7" t="s">
        <v>91</v>
      </c>
      <c r="B24" s="7" t="s">
        <v>13</v>
      </c>
      <c r="C24" s="8" t="s">
        <v>14</v>
      </c>
      <c r="D24" s="7" t="s">
        <v>92</v>
      </c>
      <c r="E24" s="7" t="s">
        <v>16</v>
      </c>
      <c r="F24" s="7" t="s">
        <v>93</v>
      </c>
      <c r="G24" s="7" t="s">
        <v>94</v>
      </c>
      <c r="H24" s="6"/>
      <c r="I24" s="6"/>
      <c r="J24" s="6"/>
    </row>
    <row r="25" customFormat="false" ht="35.05" hidden="false" customHeight="false" outlineLevel="0" collapsed="false">
      <c r="A25" s="4" t="s">
        <v>95</v>
      </c>
      <c r="B25" s="4" t="s">
        <v>13</v>
      </c>
      <c r="C25" s="5" t="s">
        <v>14</v>
      </c>
      <c r="D25" s="4" t="s">
        <v>96</v>
      </c>
      <c r="E25" s="4" t="s">
        <v>97</v>
      </c>
      <c r="F25" s="4" t="s">
        <v>98</v>
      </c>
      <c r="G25" s="4" t="s">
        <v>99</v>
      </c>
      <c r="H25" s="6"/>
      <c r="I25" s="6"/>
      <c r="J25" s="6"/>
    </row>
    <row r="26" customFormat="false" ht="46.25" hidden="false" customHeight="false" outlineLevel="0" collapsed="false">
      <c r="A26" s="7" t="s">
        <v>100</v>
      </c>
      <c r="B26" s="7" t="s">
        <v>13</v>
      </c>
      <c r="C26" s="9" t="s">
        <v>101</v>
      </c>
      <c r="D26" s="7" t="s">
        <v>102</v>
      </c>
      <c r="E26" s="7" t="s">
        <v>16</v>
      </c>
      <c r="F26" s="7" t="s">
        <v>103</v>
      </c>
      <c r="G26" s="7" t="s">
        <v>104</v>
      </c>
      <c r="H26" s="6"/>
      <c r="I26" s="6"/>
      <c r="J26" s="6"/>
    </row>
    <row r="27" customFormat="false" ht="23.85" hidden="false" customHeight="false" outlineLevel="0" collapsed="false">
      <c r="A27" s="4" t="s">
        <v>105</v>
      </c>
      <c r="B27" s="4" t="s">
        <v>13</v>
      </c>
      <c r="C27" s="10" t="s">
        <v>101</v>
      </c>
      <c r="D27" s="4" t="s">
        <v>106</v>
      </c>
      <c r="E27" s="4" t="s">
        <v>107</v>
      </c>
      <c r="F27" s="4" t="s">
        <v>108</v>
      </c>
      <c r="G27" s="4" t="s">
        <v>109</v>
      </c>
      <c r="H27" s="6"/>
      <c r="I27" s="6"/>
      <c r="J27" s="6"/>
    </row>
    <row r="28" customFormat="false" ht="23.85" hidden="false" customHeight="false" outlineLevel="0" collapsed="false">
      <c r="A28" s="7" t="s">
        <v>110</v>
      </c>
      <c r="B28" s="7" t="s">
        <v>111</v>
      </c>
      <c r="C28" s="9" t="s">
        <v>101</v>
      </c>
      <c r="D28" s="7" t="s">
        <v>112</v>
      </c>
      <c r="E28" s="7" t="s">
        <v>113</v>
      </c>
      <c r="F28" s="7" t="s">
        <v>114</v>
      </c>
      <c r="G28" s="7" t="s">
        <v>115</v>
      </c>
      <c r="H28" s="6"/>
      <c r="I28" s="6"/>
      <c r="J28" s="6"/>
    </row>
    <row r="29" customFormat="false" ht="23.85" hidden="false" customHeight="false" outlineLevel="0" collapsed="false">
      <c r="A29" s="4" t="s">
        <v>116</v>
      </c>
      <c r="B29" s="4" t="s">
        <v>111</v>
      </c>
      <c r="C29" s="5" t="s">
        <v>14</v>
      </c>
      <c r="D29" s="4" t="s">
        <v>117</v>
      </c>
      <c r="E29" s="4" t="s">
        <v>118</v>
      </c>
      <c r="F29" s="4" t="s">
        <v>119</v>
      </c>
      <c r="G29" s="4" t="s">
        <v>120</v>
      </c>
      <c r="H29" s="6"/>
      <c r="I29" s="6"/>
      <c r="J29" s="6"/>
    </row>
    <row r="30" customFormat="false" ht="35.05" hidden="false" customHeight="false" outlineLevel="0" collapsed="false">
      <c r="A30" s="7" t="s">
        <v>121</v>
      </c>
      <c r="B30" s="7" t="s">
        <v>111</v>
      </c>
      <c r="C30" s="8" t="s">
        <v>14</v>
      </c>
      <c r="D30" s="7" t="s">
        <v>122</v>
      </c>
      <c r="E30" s="7" t="s">
        <v>123</v>
      </c>
      <c r="F30" s="7" t="s">
        <v>124</v>
      </c>
      <c r="G30" s="7" t="s">
        <v>125</v>
      </c>
      <c r="H30" s="6"/>
      <c r="I30" s="6"/>
      <c r="J30" s="6"/>
    </row>
    <row r="31" customFormat="false" ht="15" hidden="false" customHeight="false" outlineLevel="0" collapsed="false">
      <c r="A31" s="4" t="s">
        <v>126</v>
      </c>
      <c r="B31" s="4" t="s">
        <v>111</v>
      </c>
      <c r="C31" s="10" t="s">
        <v>101</v>
      </c>
      <c r="D31" s="4" t="s">
        <v>127</v>
      </c>
      <c r="E31" s="4" t="s">
        <v>128</v>
      </c>
      <c r="F31" s="4" t="s">
        <v>129</v>
      </c>
      <c r="G31" s="4" t="s">
        <v>130</v>
      </c>
      <c r="H31" s="6"/>
      <c r="I31" s="6"/>
      <c r="J31" s="6"/>
    </row>
    <row r="32" customFormat="false" ht="23.85" hidden="false" customHeight="false" outlineLevel="0" collapsed="false">
      <c r="A32" s="7" t="s">
        <v>131</v>
      </c>
      <c r="B32" s="7" t="s">
        <v>132</v>
      </c>
      <c r="C32" s="8" t="s">
        <v>14</v>
      </c>
      <c r="D32" s="7" t="s">
        <v>133</v>
      </c>
      <c r="E32" s="7" t="s">
        <v>134</v>
      </c>
      <c r="F32" s="7" t="s">
        <v>135</v>
      </c>
      <c r="G32" s="7" t="s">
        <v>136</v>
      </c>
      <c r="H32" s="6"/>
      <c r="I32" s="6"/>
      <c r="J32" s="6"/>
    </row>
    <row r="33" customFormat="false" ht="23.85" hidden="false" customHeight="false" outlineLevel="0" collapsed="false">
      <c r="A33" s="4" t="s">
        <v>137</v>
      </c>
      <c r="B33" s="4" t="s">
        <v>132</v>
      </c>
      <c r="C33" s="5" t="s">
        <v>14</v>
      </c>
      <c r="D33" s="4" t="s">
        <v>138</v>
      </c>
      <c r="E33" s="4" t="s">
        <v>139</v>
      </c>
      <c r="F33" s="4" t="s">
        <v>140</v>
      </c>
      <c r="G33" s="4" t="s">
        <v>141</v>
      </c>
      <c r="H33" s="6"/>
      <c r="I33" s="6"/>
      <c r="J33" s="6"/>
    </row>
    <row r="34" customFormat="false" ht="15" hidden="false" customHeight="false" outlineLevel="0" collapsed="false">
      <c r="A34" s="7" t="s">
        <v>142</v>
      </c>
      <c r="B34" s="7" t="s">
        <v>132</v>
      </c>
      <c r="C34" s="9" t="s">
        <v>101</v>
      </c>
      <c r="D34" s="7" t="s">
        <v>143</v>
      </c>
      <c r="E34" s="7" t="s">
        <v>139</v>
      </c>
      <c r="F34" s="7" t="s">
        <v>144</v>
      </c>
      <c r="G34" s="7" t="s">
        <v>145</v>
      </c>
      <c r="H34" s="6"/>
      <c r="I34" s="6"/>
      <c r="J34" s="6"/>
    </row>
    <row r="35" customFormat="false" ht="23.85" hidden="false" customHeight="false" outlineLevel="0" collapsed="false">
      <c r="A35" s="4" t="s">
        <v>146</v>
      </c>
      <c r="B35" s="4" t="s">
        <v>147</v>
      </c>
      <c r="C35" s="5" t="s">
        <v>14</v>
      </c>
      <c r="D35" s="4" t="s">
        <v>148</v>
      </c>
      <c r="E35" s="4" t="s">
        <v>149</v>
      </c>
      <c r="F35" s="4" t="s">
        <v>150</v>
      </c>
      <c r="G35" s="4" t="s">
        <v>151</v>
      </c>
      <c r="H35" s="6"/>
      <c r="I35" s="6"/>
      <c r="J35" s="6"/>
    </row>
    <row r="36" customFormat="false" ht="15" hidden="false" customHeight="false" outlineLevel="0" collapsed="false">
      <c r="A36" s="7" t="s">
        <v>152</v>
      </c>
      <c r="B36" s="7" t="s">
        <v>147</v>
      </c>
      <c r="C36" s="9" t="s">
        <v>101</v>
      </c>
      <c r="D36" s="7" t="s">
        <v>153</v>
      </c>
      <c r="E36" s="7" t="s">
        <v>139</v>
      </c>
      <c r="F36" s="7" t="s">
        <v>154</v>
      </c>
      <c r="G36" s="7" t="s">
        <v>155</v>
      </c>
      <c r="H36" s="6"/>
      <c r="I36" s="6"/>
      <c r="J36" s="6"/>
    </row>
    <row r="37" customFormat="false" ht="23.85" hidden="false" customHeight="false" outlineLevel="0" collapsed="false">
      <c r="A37" s="4" t="s">
        <v>156</v>
      </c>
      <c r="B37" s="4" t="s">
        <v>147</v>
      </c>
      <c r="C37" s="10" t="s">
        <v>101</v>
      </c>
      <c r="D37" s="4" t="s">
        <v>157</v>
      </c>
      <c r="E37" s="4" t="s">
        <v>158</v>
      </c>
      <c r="F37" s="4" t="s">
        <v>159</v>
      </c>
      <c r="G37" s="4" t="s">
        <v>160</v>
      </c>
      <c r="H37" s="6"/>
      <c r="I37" s="6"/>
      <c r="J37" s="6"/>
    </row>
    <row r="38" customFormat="false" ht="23.85" hidden="false" customHeight="false" outlineLevel="0" collapsed="false">
      <c r="A38" s="7" t="s">
        <v>161</v>
      </c>
      <c r="B38" s="7" t="s">
        <v>162</v>
      </c>
      <c r="C38" s="8" t="s">
        <v>14</v>
      </c>
      <c r="D38" s="7" t="s">
        <v>163</v>
      </c>
      <c r="E38" s="7" t="s">
        <v>164</v>
      </c>
      <c r="F38" s="7" t="s">
        <v>165</v>
      </c>
      <c r="G38" s="7" t="s">
        <v>166</v>
      </c>
      <c r="H38" s="6"/>
      <c r="I38" s="6"/>
      <c r="J38" s="6"/>
    </row>
    <row r="39" customFormat="false" ht="23.85" hidden="false" customHeight="false" outlineLevel="0" collapsed="false">
      <c r="A39" s="4" t="s">
        <v>167</v>
      </c>
      <c r="B39" s="4" t="s">
        <v>162</v>
      </c>
      <c r="C39" s="5" t="s">
        <v>14</v>
      </c>
      <c r="D39" s="4" t="s">
        <v>168</v>
      </c>
      <c r="E39" s="4" t="s">
        <v>164</v>
      </c>
      <c r="F39" s="4" t="s">
        <v>169</v>
      </c>
      <c r="G39" s="4" t="s">
        <v>170</v>
      </c>
      <c r="H39" s="6"/>
      <c r="I39" s="6"/>
      <c r="J39" s="6"/>
    </row>
    <row r="40" customFormat="false" ht="23.85" hidden="false" customHeight="false" outlineLevel="0" collapsed="false">
      <c r="A40" s="7" t="s">
        <v>171</v>
      </c>
      <c r="B40" s="7" t="s">
        <v>162</v>
      </c>
      <c r="C40" s="8" t="s">
        <v>14</v>
      </c>
      <c r="D40" s="7" t="s">
        <v>172</v>
      </c>
      <c r="E40" s="7" t="s">
        <v>164</v>
      </c>
      <c r="F40" s="7" t="s">
        <v>173</v>
      </c>
      <c r="G40" s="7" t="s">
        <v>174</v>
      </c>
      <c r="H40" s="6"/>
      <c r="I40" s="6"/>
      <c r="J40" s="6"/>
    </row>
    <row r="41" customFormat="false" ht="23.85" hidden="false" customHeight="false" outlineLevel="0" collapsed="false">
      <c r="A41" s="4" t="s">
        <v>175</v>
      </c>
      <c r="B41" s="4" t="s">
        <v>162</v>
      </c>
      <c r="C41" s="5" t="s">
        <v>14</v>
      </c>
      <c r="D41" s="4" t="s">
        <v>176</v>
      </c>
      <c r="E41" s="4" t="s">
        <v>164</v>
      </c>
      <c r="F41" s="4" t="s">
        <v>177</v>
      </c>
      <c r="G41" s="4" t="s">
        <v>178</v>
      </c>
      <c r="H41" s="6"/>
      <c r="I41" s="6"/>
      <c r="J41" s="6"/>
    </row>
    <row r="42" customFormat="false" ht="23.85" hidden="false" customHeight="false" outlineLevel="0" collapsed="false">
      <c r="A42" s="7" t="s">
        <v>179</v>
      </c>
      <c r="B42" s="7" t="s">
        <v>162</v>
      </c>
      <c r="C42" s="8" t="s">
        <v>14</v>
      </c>
      <c r="D42" s="7" t="s">
        <v>180</v>
      </c>
      <c r="E42" s="7" t="s">
        <v>164</v>
      </c>
      <c r="F42" s="7" t="s">
        <v>181</v>
      </c>
      <c r="G42" s="7" t="s">
        <v>182</v>
      </c>
      <c r="H42" s="6"/>
      <c r="I42" s="6"/>
      <c r="J42" s="6"/>
    </row>
    <row r="43" customFormat="false" ht="23.85" hidden="false" customHeight="false" outlineLevel="0" collapsed="false">
      <c r="A43" s="4" t="s">
        <v>183</v>
      </c>
      <c r="B43" s="4" t="s">
        <v>162</v>
      </c>
      <c r="C43" s="5" t="s">
        <v>14</v>
      </c>
      <c r="D43" s="4" t="s">
        <v>184</v>
      </c>
      <c r="E43" s="4" t="s">
        <v>164</v>
      </c>
      <c r="F43" s="4" t="s">
        <v>185</v>
      </c>
      <c r="G43" s="4" t="s">
        <v>186</v>
      </c>
      <c r="H43" s="6"/>
      <c r="I43" s="6"/>
      <c r="J43" s="6"/>
    </row>
    <row r="44" customFormat="false" ht="23.85" hidden="false" customHeight="false" outlineLevel="0" collapsed="false">
      <c r="A44" s="7" t="s">
        <v>187</v>
      </c>
      <c r="B44" s="7" t="s">
        <v>162</v>
      </c>
      <c r="C44" s="9" t="s">
        <v>101</v>
      </c>
      <c r="D44" s="7" t="s">
        <v>188</v>
      </c>
      <c r="E44" s="7" t="s">
        <v>164</v>
      </c>
      <c r="F44" s="7" t="s">
        <v>189</v>
      </c>
      <c r="G44" s="7" t="s">
        <v>190</v>
      </c>
      <c r="H44" s="6"/>
      <c r="I44" s="6"/>
      <c r="J44" s="6"/>
    </row>
    <row r="45" customFormat="false" ht="23.85" hidden="false" customHeight="false" outlineLevel="0" collapsed="false">
      <c r="A45" s="4" t="s">
        <v>191</v>
      </c>
      <c r="B45" s="4" t="s">
        <v>162</v>
      </c>
      <c r="C45" s="10" t="s">
        <v>101</v>
      </c>
      <c r="D45" s="4" t="s">
        <v>192</v>
      </c>
      <c r="E45" s="4" t="s">
        <v>164</v>
      </c>
      <c r="F45" s="4" t="s">
        <v>193</v>
      </c>
      <c r="G45" s="4" t="s">
        <v>194</v>
      </c>
      <c r="H45" s="6"/>
      <c r="I45" s="6"/>
      <c r="J45" s="6"/>
    </row>
    <row r="46" customFormat="false" ht="23.85" hidden="false" customHeight="false" outlineLevel="0" collapsed="false">
      <c r="A46" s="7" t="s">
        <v>195</v>
      </c>
      <c r="B46" s="7" t="s">
        <v>196</v>
      </c>
      <c r="C46" s="8" t="s">
        <v>14</v>
      </c>
      <c r="D46" s="7" t="s">
        <v>197</v>
      </c>
      <c r="E46" s="7" t="s">
        <v>198</v>
      </c>
      <c r="F46" s="7" t="s">
        <v>199</v>
      </c>
      <c r="G46" s="7" t="s">
        <v>200</v>
      </c>
      <c r="H46" s="6"/>
      <c r="I46" s="6"/>
      <c r="J46" s="6"/>
    </row>
    <row r="47" customFormat="false" ht="23.85" hidden="false" customHeight="false" outlineLevel="0" collapsed="false">
      <c r="A47" s="4" t="s">
        <v>201</v>
      </c>
      <c r="B47" s="4" t="s">
        <v>196</v>
      </c>
      <c r="C47" s="5" t="s">
        <v>14</v>
      </c>
      <c r="D47" s="4" t="s">
        <v>202</v>
      </c>
      <c r="E47" s="4" t="s">
        <v>198</v>
      </c>
      <c r="F47" s="4" t="s">
        <v>203</v>
      </c>
      <c r="G47" s="4" t="s">
        <v>204</v>
      </c>
      <c r="H47" s="6"/>
      <c r="I47" s="6"/>
      <c r="J47" s="6"/>
    </row>
    <row r="48" customFormat="false" ht="23.85" hidden="false" customHeight="false" outlineLevel="0" collapsed="false">
      <c r="A48" s="7" t="s">
        <v>205</v>
      </c>
      <c r="B48" s="7" t="s">
        <v>196</v>
      </c>
      <c r="C48" s="8" t="s">
        <v>14</v>
      </c>
      <c r="D48" s="7" t="s">
        <v>206</v>
      </c>
      <c r="E48" s="7" t="s">
        <v>198</v>
      </c>
      <c r="F48" s="7" t="s">
        <v>207</v>
      </c>
      <c r="G48" s="7" t="s">
        <v>208</v>
      </c>
      <c r="H48" s="6"/>
      <c r="I48" s="6"/>
      <c r="J48" s="6"/>
    </row>
    <row r="49" customFormat="false" ht="23.85" hidden="false" customHeight="false" outlineLevel="0" collapsed="false">
      <c r="A49" s="4" t="s">
        <v>209</v>
      </c>
      <c r="B49" s="4" t="s">
        <v>196</v>
      </c>
      <c r="C49" s="5" t="s">
        <v>14</v>
      </c>
      <c r="D49" s="4" t="s">
        <v>210</v>
      </c>
      <c r="E49" s="4" t="s">
        <v>211</v>
      </c>
      <c r="F49" s="4" t="s">
        <v>212</v>
      </c>
      <c r="G49" s="4" t="s">
        <v>213</v>
      </c>
      <c r="H49" s="6"/>
      <c r="I49" s="6"/>
      <c r="J49" s="6"/>
    </row>
    <row r="50" customFormat="false" ht="15" hidden="false" customHeight="false" outlineLevel="0" collapsed="false">
      <c r="A50" s="7" t="s">
        <v>214</v>
      </c>
      <c r="B50" s="7" t="s">
        <v>196</v>
      </c>
      <c r="C50" s="9" t="s">
        <v>101</v>
      </c>
      <c r="D50" s="7" t="s">
        <v>215</v>
      </c>
      <c r="E50" s="7" t="s">
        <v>216</v>
      </c>
      <c r="F50" s="7" t="s">
        <v>217</v>
      </c>
      <c r="G50" s="7" t="s">
        <v>218</v>
      </c>
      <c r="H50" s="6"/>
      <c r="I50" s="6"/>
      <c r="J50" s="6"/>
    </row>
    <row r="51" customFormat="false" ht="23.85" hidden="false" customHeight="false" outlineLevel="0" collapsed="false">
      <c r="A51" s="4" t="s">
        <v>219</v>
      </c>
      <c r="B51" s="4" t="s">
        <v>196</v>
      </c>
      <c r="C51" s="10" t="s">
        <v>101</v>
      </c>
      <c r="D51" s="4" t="s">
        <v>220</v>
      </c>
      <c r="E51" s="4" t="s">
        <v>221</v>
      </c>
      <c r="F51" s="4" t="s">
        <v>222</v>
      </c>
      <c r="G51" s="4" t="s">
        <v>223</v>
      </c>
      <c r="H51" s="6"/>
      <c r="I51" s="6"/>
      <c r="J51" s="6"/>
    </row>
    <row r="52" customFormat="false" ht="23.85" hidden="false" customHeight="false" outlineLevel="0" collapsed="false">
      <c r="A52" s="7" t="s">
        <v>224</v>
      </c>
      <c r="B52" s="7" t="s">
        <v>225</v>
      </c>
      <c r="C52" s="8" t="s">
        <v>14</v>
      </c>
      <c r="D52" s="7" t="s">
        <v>226</v>
      </c>
      <c r="E52" s="7" t="s">
        <v>227</v>
      </c>
      <c r="F52" s="7" t="s">
        <v>228</v>
      </c>
      <c r="G52" s="7" t="s">
        <v>229</v>
      </c>
      <c r="H52" s="6"/>
      <c r="I52" s="6"/>
      <c r="J52" s="6"/>
    </row>
    <row r="53" customFormat="false" ht="23.85" hidden="false" customHeight="false" outlineLevel="0" collapsed="false">
      <c r="A53" s="4" t="s">
        <v>230</v>
      </c>
      <c r="B53" s="4" t="s">
        <v>225</v>
      </c>
      <c r="C53" s="5" t="s">
        <v>14</v>
      </c>
      <c r="D53" s="4" t="s">
        <v>231</v>
      </c>
      <c r="E53" s="4" t="s">
        <v>232</v>
      </c>
      <c r="F53" s="4" t="s">
        <v>233</v>
      </c>
      <c r="G53" s="4" t="s">
        <v>234</v>
      </c>
      <c r="H53" s="6"/>
      <c r="I53" s="6"/>
      <c r="J53" s="6"/>
    </row>
    <row r="54" customFormat="false" ht="23.85" hidden="false" customHeight="false" outlineLevel="0" collapsed="false">
      <c r="A54" s="7" t="s">
        <v>235</v>
      </c>
      <c r="B54" s="7" t="s">
        <v>225</v>
      </c>
      <c r="C54" s="9" t="s">
        <v>101</v>
      </c>
      <c r="D54" s="7" t="s">
        <v>236</v>
      </c>
      <c r="E54" s="7" t="s">
        <v>237</v>
      </c>
      <c r="F54" s="7" t="s">
        <v>233</v>
      </c>
      <c r="G54" s="7" t="s">
        <v>238</v>
      </c>
      <c r="H54" s="6"/>
      <c r="I54" s="6"/>
      <c r="J54" s="6"/>
    </row>
    <row r="55" customFormat="false" ht="23.85" hidden="false" customHeight="false" outlineLevel="0" collapsed="false">
      <c r="A55" s="4" t="s">
        <v>239</v>
      </c>
      <c r="B55" s="4" t="s">
        <v>225</v>
      </c>
      <c r="C55" s="10" t="s">
        <v>101</v>
      </c>
      <c r="D55" s="4" t="s">
        <v>240</v>
      </c>
      <c r="E55" s="4" t="s">
        <v>241</v>
      </c>
      <c r="F55" s="4" t="s">
        <v>242</v>
      </c>
      <c r="G55" s="4" t="s">
        <v>243</v>
      </c>
      <c r="H55" s="6"/>
      <c r="I55" s="6"/>
      <c r="J55" s="6"/>
    </row>
    <row r="56" customFormat="false" ht="23.85" hidden="false" customHeight="false" outlineLevel="0" collapsed="false">
      <c r="A56" s="7" t="s">
        <v>244</v>
      </c>
      <c r="B56" s="7" t="s">
        <v>245</v>
      </c>
      <c r="C56" s="8" t="s">
        <v>14</v>
      </c>
      <c r="D56" s="7" t="s">
        <v>246</v>
      </c>
      <c r="E56" s="7" t="s">
        <v>247</v>
      </c>
      <c r="F56" s="7" t="s">
        <v>248</v>
      </c>
      <c r="G56" s="7" t="s">
        <v>249</v>
      </c>
      <c r="H56" s="6"/>
      <c r="I56" s="6"/>
      <c r="J56" s="6"/>
    </row>
    <row r="57" customFormat="false" ht="23.85" hidden="false" customHeight="false" outlineLevel="0" collapsed="false">
      <c r="A57" s="4" t="s">
        <v>250</v>
      </c>
      <c r="B57" s="4" t="s">
        <v>245</v>
      </c>
      <c r="C57" s="5" t="s">
        <v>14</v>
      </c>
      <c r="D57" s="4" t="s">
        <v>251</v>
      </c>
      <c r="E57" s="4" t="s">
        <v>252</v>
      </c>
      <c r="F57" s="4" t="s">
        <v>253</v>
      </c>
      <c r="G57" s="4" t="s">
        <v>254</v>
      </c>
      <c r="H57" s="6"/>
      <c r="I57" s="6"/>
      <c r="J57" s="6"/>
    </row>
    <row r="58" customFormat="false" ht="15" hidden="false" customHeight="false" outlineLevel="0" collapsed="false">
      <c r="A58" s="7" t="s">
        <v>255</v>
      </c>
      <c r="B58" s="7" t="s">
        <v>245</v>
      </c>
      <c r="C58" s="9" t="s">
        <v>101</v>
      </c>
      <c r="D58" s="7" t="s">
        <v>256</v>
      </c>
      <c r="E58" s="7" t="s">
        <v>257</v>
      </c>
      <c r="F58" s="7" t="s">
        <v>258</v>
      </c>
      <c r="G58" s="7" t="s">
        <v>259</v>
      </c>
      <c r="H58" s="6"/>
      <c r="I58" s="6"/>
      <c r="J58" s="6"/>
    </row>
    <row r="59" customFormat="false" ht="23.85" hidden="false" customHeight="false" outlineLevel="0" collapsed="false">
      <c r="A59" s="4" t="s">
        <v>260</v>
      </c>
      <c r="B59" s="4" t="s">
        <v>261</v>
      </c>
      <c r="C59" s="10" t="s">
        <v>101</v>
      </c>
      <c r="D59" s="4" t="s">
        <v>262</v>
      </c>
      <c r="E59" s="4" t="s">
        <v>263</v>
      </c>
      <c r="F59" s="4" t="s">
        <v>264</v>
      </c>
      <c r="G59" s="4" t="s">
        <v>265</v>
      </c>
      <c r="H59" s="6"/>
      <c r="I59" s="6"/>
      <c r="J59" s="6"/>
    </row>
    <row r="60" customFormat="false" ht="23.85" hidden="false" customHeight="false" outlineLevel="0" collapsed="false">
      <c r="A60" s="7" t="s">
        <v>266</v>
      </c>
      <c r="B60" s="7" t="s">
        <v>261</v>
      </c>
      <c r="C60" s="8" t="s">
        <v>14</v>
      </c>
      <c r="D60" s="7" t="s">
        <v>267</v>
      </c>
      <c r="E60" s="7" t="s">
        <v>268</v>
      </c>
      <c r="F60" s="7" t="s">
        <v>269</v>
      </c>
      <c r="G60" s="7" t="s">
        <v>270</v>
      </c>
      <c r="H60" s="6"/>
      <c r="I60" s="6"/>
      <c r="J60" s="6"/>
    </row>
    <row r="61" customFormat="false" ht="23.85" hidden="false" customHeight="false" outlineLevel="0" collapsed="false">
      <c r="A61" s="4" t="s">
        <v>271</v>
      </c>
      <c r="B61" s="4" t="s">
        <v>261</v>
      </c>
      <c r="C61" s="5" t="s">
        <v>14</v>
      </c>
      <c r="D61" s="4" t="s">
        <v>272</v>
      </c>
      <c r="E61" s="4" t="s">
        <v>273</v>
      </c>
      <c r="F61" s="4" t="s">
        <v>274</v>
      </c>
      <c r="G61" s="4" t="s">
        <v>275</v>
      </c>
      <c r="H61" s="6"/>
      <c r="I61" s="6"/>
      <c r="J61" s="6"/>
    </row>
    <row r="62" customFormat="false" ht="23.85" hidden="false" customHeight="false" outlineLevel="0" collapsed="false">
      <c r="A62" s="7" t="s">
        <v>276</v>
      </c>
      <c r="B62" s="7" t="s">
        <v>261</v>
      </c>
      <c r="C62" s="9" t="s">
        <v>101</v>
      </c>
      <c r="D62" s="7" t="s">
        <v>277</v>
      </c>
      <c r="E62" s="7" t="s">
        <v>278</v>
      </c>
      <c r="F62" s="7" t="s">
        <v>279</v>
      </c>
      <c r="G62" s="7" t="s">
        <v>280</v>
      </c>
      <c r="H62" s="6"/>
      <c r="I62" s="6"/>
      <c r="J62" s="6"/>
    </row>
    <row r="63" customFormat="false" ht="23.85" hidden="false" customHeight="false" outlineLevel="0" collapsed="false">
      <c r="A63" s="4" t="s">
        <v>281</v>
      </c>
      <c r="B63" s="4" t="s">
        <v>282</v>
      </c>
      <c r="C63" s="5" t="s">
        <v>14</v>
      </c>
      <c r="D63" s="4" t="s">
        <v>283</v>
      </c>
      <c r="E63" s="4" t="s">
        <v>284</v>
      </c>
      <c r="F63" s="4" t="s">
        <v>285</v>
      </c>
      <c r="G63" s="4" t="s">
        <v>286</v>
      </c>
      <c r="H63" s="6"/>
      <c r="I63" s="6"/>
      <c r="J63" s="6"/>
    </row>
    <row r="64" customFormat="false" ht="23.85" hidden="false" customHeight="false" outlineLevel="0" collapsed="false">
      <c r="A64" s="7" t="s">
        <v>287</v>
      </c>
      <c r="B64" s="7" t="s">
        <v>282</v>
      </c>
      <c r="C64" s="8" t="s">
        <v>14</v>
      </c>
      <c r="D64" s="7" t="s">
        <v>288</v>
      </c>
      <c r="E64" s="7" t="s">
        <v>289</v>
      </c>
      <c r="F64" s="7" t="s">
        <v>290</v>
      </c>
      <c r="G64" s="7" t="s">
        <v>291</v>
      </c>
      <c r="H64" s="6"/>
      <c r="I64" s="6"/>
      <c r="J64" s="6"/>
    </row>
    <row r="65" customFormat="false" ht="35.05" hidden="false" customHeight="false" outlineLevel="0" collapsed="false">
      <c r="A65" s="4" t="s">
        <v>292</v>
      </c>
      <c r="B65" s="4" t="s">
        <v>282</v>
      </c>
      <c r="C65" s="5" t="s">
        <v>14</v>
      </c>
      <c r="D65" s="4" t="s">
        <v>293</v>
      </c>
      <c r="E65" s="4" t="s">
        <v>294</v>
      </c>
      <c r="F65" s="4" t="s">
        <v>295</v>
      </c>
      <c r="G65" s="4" t="s">
        <v>296</v>
      </c>
      <c r="H65" s="6"/>
      <c r="I65" s="6"/>
      <c r="J65" s="6"/>
    </row>
    <row r="66" customFormat="false" ht="23.85" hidden="false" customHeight="false" outlineLevel="0" collapsed="false">
      <c r="A66" s="7" t="s">
        <v>297</v>
      </c>
      <c r="B66" s="7" t="s">
        <v>298</v>
      </c>
      <c r="C66" s="8" t="s">
        <v>14</v>
      </c>
      <c r="D66" s="7" t="s">
        <v>299</v>
      </c>
      <c r="E66" s="7" t="s">
        <v>300</v>
      </c>
      <c r="F66" s="7" t="s">
        <v>301</v>
      </c>
      <c r="G66" s="7" t="s">
        <v>302</v>
      </c>
      <c r="H66" s="6"/>
      <c r="I66" s="6"/>
      <c r="J66" s="6"/>
    </row>
    <row r="67" customFormat="false" ht="23.85" hidden="false" customHeight="false" outlineLevel="0" collapsed="false">
      <c r="A67" s="4" t="s">
        <v>303</v>
      </c>
      <c r="B67" s="4" t="s">
        <v>298</v>
      </c>
      <c r="C67" s="5" t="s">
        <v>14</v>
      </c>
      <c r="D67" s="4" t="s">
        <v>304</v>
      </c>
      <c r="E67" s="4" t="s">
        <v>305</v>
      </c>
      <c r="F67" s="4" t="s">
        <v>301</v>
      </c>
      <c r="G67" s="4" t="s">
        <v>306</v>
      </c>
      <c r="H67" s="6"/>
      <c r="I67" s="6"/>
      <c r="J67" s="6"/>
    </row>
    <row r="68" customFormat="false" ht="23.85" hidden="false" customHeight="false" outlineLevel="0" collapsed="false">
      <c r="A68" s="7" t="s">
        <v>307</v>
      </c>
      <c r="B68" s="7" t="s">
        <v>298</v>
      </c>
      <c r="C68" s="8" t="s">
        <v>14</v>
      </c>
      <c r="D68" s="7" t="s">
        <v>308</v>
      </c>
      <c r="E68" s="7" t="s">
        <v>309</v>
      </c>
      <c r="F68" s="7" t="s">
        <v>310</v>
      </c>
      <c r="G68" s="7" t="s">
        <v>311</v>
      </c>
      <c r="H68" s="6"/>
      <c r="I68" s="6"/>
      <c r="J68" s="6"/>
    </row>
    <row r="69" customFormat="false" ht="23.85" hidden="false" customHeight="false" outlineLevel="0" collapsed="false">
      <c r="A69" s="4" t="s">
        <v>312</v>
      </c>
      <c r="B69" s="4" t="s">
        <v>298</v>
      </c>
      <c r="C69" s="5" t="s">
        <v>14</v>
      </c>
      <c r="D69" s="4" t="s">
        <v>313</v>
      </c>
      <c r="E69" s="4" t="s">
        <v>314</v>
      </c>
      <c r="F69" s="4" t="s">
        <v>315</v>
      </c>
      <c r="G69" s="4" t="s">
        <v>316</v>
      </c>
      <c r="H69" s="6"/>
      <c r="I69" s="6"/>
      <c r="J69" s="6"/>
    </row>
    <row r="70" customFormat="false" ht="23.85" hidden="false" customHeight="false" outlineLevel="0" collapsed="false">
      <c r="A70" s="7" t="s">
        <v>317</v>
      </c>
      <c r="B70" s="7" t="s">
        <v>298</v>
      </c>
      <c r="C70" s="8" t="s">
        <v>14</v>
      </c>
      <c r="D70" s="7" t="s">
        <v>318</v>
      </c>
      <c r="E70" s="7" t="s">
        <v>319</v>
      </c>
      <c r="F70" s="7" t="s">
        <v>320</v>
      </c>
      <c r="G70" s="7" t="s">
        <v>321</v>
      </c>
      <c r="H70" s="6"/>
      <c r="I70" s="6"/>
      <c r="J70" s="6"/>
    </row>
    <row r="71" customFormat="false" ht="23.85" hidden="false" customHeight="false" outlineLevel="0" collapsed="false">
      <c r="A71" s="4" t="s">
        <v>322</v>
      </c>
      <c r="B71" s="4" t="s">
        <v>298</v>
      </c>
      <c r="C71" s="10" t="s">
        <v>101</v>
      </c>
      <c r="D71" s="4" t="s">
        <v>323</v>
      </c>
      <c r="E71" s="4" t="s">
        <v>309</v>
      </c>
      <c r="F71" s="4" t="s">
        <v>324</v>
      </c>
      <c r="G71" s="4" t="s">
        <v>325</v>
      </c>
      <c r="H71" s="6"/>
      <c r="I71" s="6"/>
      <c r="J71" s="6"/>
    </row>
    <row r="72" customFormat="false" ht="23.85" hidden="false" customHeight="false" outlineLevel="0" collapsed="false">
      <c r="A72" s="7" t="s">
        <v>326</v>
      </c>
      <c r="B72" s="7" t="s">
        <v>298</v>
      </c>
      <c r="C72" s="9" t="s">
        <v>101</v>
      </c>
      <c r="D72" s="7" t="s">
        <v>327</v>
      </c>
      <c r="E72" s="7" t="s">
        <v>328</v>
      </c>
      <c r="F72" s="7" t="s">
        <v>329</v>
      </c>
      <c r="G72" s="7" t="s">
        <v>330</v>
      </c>
      <c r="H72" s="6"/>
      <c r="I72" s="6"/>
      <c r="J72" s="6"/>
    </row>
    <row r="73" customFormat="false" ht="23.85" hidden="false" customHeight="false" outlineLevel="0" collapsed="false">
      <c r="A73" s="4" t="s">
        <v>331</v>
      </c>
      <c r="B73" s="4" t="s">
        <v>332</v>
      </c>
      <c r="C73" s="5" t="s">
        <v>14</v>
      </c>
      <c r="D73" s="4" t="s">
        <v>333</v>
      </c>
      <c r="E73" s="4" t="s">
        <v>334</v>
      </c>
      <c r="F73" s="4" t="s">
        <v>335</v>
      </c>
      <c r="G73" s="4" t="s">
        <v>336</v>
      </c>
      <c r="H73" s="6"/>
      <c r="I73" s="6"/>
      <c r="J73" s="6"/>
    </row>
    <row r="74" customFormat="false" ht="23.85" hidden="false" customHeight="false" outlineLevel="0" collapsed="false">
      <c r="A74" s="7" t="s">
        <v>337</v>
      </c>
      <c r="B74" s="7" t="s">
        <v>332</v>
      </c>
      <c r="C74" s="8" t="s">
        <v>14</v>
      </c>
      <c r="D74" s="7" t="s">
        <v>338</v>
      </c>
      <c r="E74" s="7" t="s">
        <v>334</v>
      </c>
      <c r="F74" s="7" t="s">
        <v>339</v>
      </c>
      <c r="G74" s="7" t="s">
        <v>340</v>
      </c>
      <c r="H74" s="6"/>
      <c r="I74" s="6"/>
      <c r="J74" s="6"/>
    </row>
    <row r="75" customFormat="false" ht="23.85" hidden="false" customHeight="false" outlineLevel="0" collapsed="false">
      <c r="A75" s="4" t="s">
        <v>341</v>
      </c>
      <c r="B75" s="4" t="s">
        <v>332</v>
      </c>
      <c r="C75" s="5" t="s">
        <v>14</v>
      </c>
      <c r="D75" s="4" t="s">
        <v>342</v>
      </c>
      <c r="E75" s="4" t="s">
        <v>343</v>
      </c>
      <c r="F75" s="4" t="s">
        <v>344</v>
      </c>
      <c r="G75" s="4" t="s">
        <v>345</v>
      </c>
      <c r="H75" s="6"/>
      <c r="I75" s="6"/>
      <c r="J75" s="6"/>
    </row>
    <row r="76" customFormat="false" ht="23.85" hidden="false" customHeight="false" outlineLevel="0" collapsed="false">
      <c r="A76" s="7" t="s">
        <v>346</v>
      </c>
      <c r="B76" s="7" t="s">
        <v>332</v>
      </c>
      <c r="C76" s="8" t="s">
        <v>14</v>
      </c>
      <c r="D76" s="7" t="s">
        <v>347</v>
      </c>
      <c r="E76" s="7" t="s">
        <v>348</v>
      </c>
      <c r="F76" s="7" t="s">
        <v>349</v>
      </c>
      <c r="G76" s="7" t="s">
        <v>350</v>
      </c>
      <c r="H76" s="6"/>
      <c r="I76" s="6"/>
      <c r="J76" s="6"/>
    </row>
    <row r="77" customFormat="false" ht="23.85" hidden="false" customHeight="false" outlineLevel="0" collapsed="false">
      <c r="A77" s="4" t="s">
        <v>351</v>
      </c>
      <c r="B77" s="4" t="s">
        <v>332</v>
      </c>
      <c r="C77" s="10" t="s">
        <v>101</v>
      </c>
      <c r="D77" s="4" t="s">
        <v>352</v>
      </c>
      <c r="E77" s="4" t="s">
        <v>348</v>
      </c>
      <c r="F77" s="4" t="s">
        <v>353</v>
      </c>
      <c r="G77" s="4" t="s">
        <v>354</v>
      </c>
      <c r="H77" s="6"/>
      <c r="I77" s="6"/>
      <c r="J77" s="6"/>
    </row>
    <row r="78" customFormat="false" ht="23.85" hidden="false" customHeight="false" outlineLevel="0" collapsed="false">
      <c r="A78" s="7" t="s">
        <v>355</v>
      </c>
      <c r="B78" s="7" t="s">
        <v>332</v>
      </c>
      <c r="C78" s="9" t="s">
        <v>101</v>
      </c>
      <c r="D78" s="7" t="s">
        <v>356</v>
      </c>
      <c r="E78" s="7" t="s">
        <v>357</v>
      </c>
      <c r="F78" s="7" t="s">
        <v>358</v>
      </c>
      <c r="G78" s="7" t="s">
        <v>359</v>
      </c>
      <c r="H78" s="6"/>
      <c r="I78" s="6"/>
      <c r="J78" s="6"/>
    </row>
    <row r="79" customFormat="false" ht="23.85" hidden="false" customHeight="false" outlineLevel="0" collapsed="false">
      <c r="A79" s="4" t="s">
        <v>360</v>
      </c>
      <c r="B79" s="4" t="s">
        <v>332</v>
      </c>
      <c r="C79" s="5" t="s">
        <v>14</v>
      </c>
      <c r="D79" s="4" t="s">
        <v>361</v>
      </c>
      <c r="E79" s="4" t="s">
        <v>362</v>
      </c>
      <c r="F79" s="4" t="s">
        <v>363</v>
      </c>
      <c r="G79" s="4" t="s">
        <v>364</v>
      </c>
      <c r="H79" s="6"/>
      <c r="I79" s="6"/>
      <c r="J79" s="6"/>
    </row>
    <row r="80" customFormat="false" ht="23.85" hidden="false" customHeight="false" outlineLevel="0" collapsed="false">
      <c r="A80" s="7" t="s">
        <v>365</v>
      </c>
      <c r="B80" s="7" t="s">
        <v>332</v>
      </c>
      <c r="C80" s="9" t="s">
        <v>101</v>
      </c>
      <c r="D80" s="7" t="s">
        <v>366</v>
      </c>
      <c r="E80" s="7" t="s">
        <v>367</v>
      </c>
      <c r="F80" s="7" t="s">
        <v>368</v>
      </c>
      <c r="G80" s="7" t="s">
        <v>369</v>
      </c>
      <c r="H80" s="6"/>
      <c r="I80" s="6"/>
      <c r="J80" s="6"/>
    </row>
    <row r="81" customFormat="false" ht="23.85" hidden="false" customHeight="false" outlineLevel="0" collapsed="false">
      <c r="A81" s="4" t="s">
        <v>370</v>
      </c>
      <c r="B81" s="4" t="s">
        <v>332</v>
      </c>
      <c r="C81" s="10" t="s">
        <v>101</v>
      </c>
      <c r="D81" s="4" t="s">
        <v>371</v>
      </c>
      <c r="E81" s="4" t="s">
        <v>334</v>
      </c>
      <c r="F81" s="4" t="s">
        <v>372</v>
      </c>
      <c r="G81" s="4" t="s">
        <v>373</v>
      </c>
      <c r="H81" s="6"/>
      <c r="I81" s="6"/>
      <c r="J81" s="6"/>
    </row>
  </sheetData>
  <autoFilter ref="A4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</cols>
  <sheetData>
    <row r="1" customFormat="false" ht="19.7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3" customFormat="false" ht="15" hidden="false" customHeight="false" outlineLevel="0" collapsed="false">
      <c r="A3" s="2" t="s">
        <v>376</v>
      </c>
    </row>
    <row r="5" customFormat="false" ht="15" hidden="false" customHeight="false" outlineLevel="0" collapsed="false">
      <c r="A5" s="11" t="s">
        <v>3</v>
      </c>
      <c r="B5" s="11" t="s">
        <v>377</v>
      </c>
      <c r="C5" s="11" t="s">
        <v>14</v>
      </c>
      <c r="D5" s="11" t="s">
        <v>378</v>
      </c>
      <c r="E5" s="11" t="s">
        <v>379</v>
      </c>
      <c r="F5" s="11" t="s">
        <v>380</v>
      </c>
    </row>
    <row r="6" customFormat="false" ht="15" hidden="false" customHeight="false" outlineLevel="0" collapsed="false">
      <c r="A6" s="12" t="s">
        <v>13</v>
      </c>
      <c r="B6" s="13" t="n">
        <f aca="false">COUNTIF('Test Cases'!$B$5:$B$81,A6)</f>
        <v>23</v>
      </c>
      <c r="C6" s="13" t="n">
        <f aca="false">COUNTIFS('Test Cases'!$B$5:$B$81,A6,'Test Cases'!$C$5:$C$81,"P1")</f>
        <v>21</v>
      </c>
      <c r="D6" s="13" t="n">
        <f aca="false">COUNTIFS('Test Cases'!$B$5:$B$81,A6,'Test Cases'!$H$5:$H$81,"&lt;&gt;")</f>
        <v>0</v>
      </c>
      <c r="E6" s="13" t="n">
        <f aca="false">COUNTIFS('Test Cases'!$B$5:$B$81,A6,'Test Cases'!$H$5:$H$81,"PASS")</f>
        <v>0</v>
      </c>
      <c r="F6" s="13" t="n">
        <f aca="false">COUNTIFS('Test Cases'!$B$5:$B$81,A6,'Test Cases'!$H$5:$H$81,"FAIL")</f>
        <v>0</v>
      </c>
    </row>
    <row r="7" customFormat="false" ht="15" hidden="false" customHeight="false" outlineLevel="0" collapsed="false">
      <c r="A7" s="12" t="s">
        <v>111</v>
      </c>
      <c r="B7" s="13" t="n">
        <f aca="false">COUNTIF('Test Cases'!$B$5:$B$81,A7)</f>
        <v>4</v>
      </c>
      <c r="C7" s="13" t="n">
        <f aca="false">COUNTIFS('Test Cases'!$B$5:$B$81,A7,'Test Cases'!$C$5:$C$81,"P1")</f>
        <v>2</v>
      </c>
      <c r="D7" s="13" t="n">
        <f aca="false">COUNTIFS('Test Cases'!$B$5:$B$81,A7,'Test Cases'!$H$5:$H$81,"&lt;&gt;")</f>
        <v>0</v>
      </c>
      <c r="E7" s="13" t="n">
        <f aca="false">COUNTIFS('Test Cases'!$B$5:$B$81,A7,'Test Cases'!$H$5:$H$81,"PASS")</f>
        <v>0</v>
      </c>
      <c r="F7" s="13" t="n">
        <f aca="false">COUNTIFS('Test Cases'!$B$5:$B$81,A7,'Test Cases'!$H$5:$H$81,"FAIL")</f>
        <v>0</v>
      </c>
    </row>
    <row r="8" customFormat="false" ht="15" hidden="false" customHeight="false" outlineLevel="0" collapsed="false">
      <c r="A8" s="12" t="s">
        <v>132</v>
      </c>
      <c r="B8" s="13" t="n">
        <f aca="false">COUNTIF('Test Cases'!$B$5:$B$81,A8)</f>
        <v>3</v>
      </c>
      <c r="C8" s="13" t="n">
        <f aca="false">COUNTIFS('Test Cases'!$B$5:$B$81,A8,'Test Cases'!$C$5:$C$81,"P1")</f>
        <v>2</v>
      </c>
      <c r="D8" s="13" t="n">
        <f aca="false">COUNTIFS('Test Cases'!$B$5:$B$81,A8,'Test Cases'!$H$5:$H$81,"&lt;&gt;")</f>
        <v>0</v>
      </c>
      <c r="E8" s="13" t="n">
        <f aca="false">COUNTIFS('Test Cases'!$B$5:$B$81,A8,'Test Cases'!$H$5:$H$81,"PASS")</f>
        <v>0</v>
      </c>
      <c r="F8" s="13" t="n">
        <f aca="false">COUNTIFS('Test Cases'!$B$5:$B$81,A8,'Test Cases'!$H$5:$H$81,"FAIL")</f>
        <v>0</v>
      </c>
    </row>
    <row r="9" customFormat="false" ht="15" hidden="false" customHeight="false" outlineLevel="0" collapsed="false">
      <c r="A9" s="12" t="s">
        <v>147</v>
      </c>
      <c r="B9" s="13" t="n">
        <f aca="false">COUNTIF('Test Cases'!$B$5:$B$81,A9)</f>
        <v>3</v>
      </c>
      <c r="C9" s="13" t="n">
        <f aca="false">COUNTIFS('Test Cases'!$B$5:$B$81,A9,'Test Cases'!$C$5:$C$81,"P1")</f>
        <v>1</v>
      </c>
      <c r="D9" s="13" t="n">
        <f aca="false">COUNTIFS('Test Cases'!$B$5:$B$81,A9,'Test Cases'!$H$5:$H$81,"&lt;&gt;")</f>
        <v>0</v>
      </c>
      <c r="E9" s="13" t="n">
        <f aca="false">COUNTIFS('Test Cases'!$B$5:$B$81,A9,'Test Cases'!$H$5:$H$81,"PASS")</f>
        <v>0</v>
      </c>
      <c r="F9" s="13" t="n">
        <f aca="false">COUNTIFS('Test Cases'!$B$5:$B$81,A9,'Test Cases'!$H$5:$H$81,"FAIL")</f>
        <v>0</v>
      </c>
    </row>
    <row r="10" customFormat="false" ht="15" hidden="false" customHeight="false" outlineLevel="0" collapsed="false">
      <c r="A10" s="12" t="s">
        <v>162</v>
      </c>
      <c r="B10" s="13" t="n">
        <f aca="false">COUNTIF('Test Cases'!$B$5:$B$81,A10)</f>
        <v>8</v>
      </c>
      <c r="C10" s="13" t="n">
        <f aca="false">COUNTIFS('Test Cases'!$B$5:$B$81,A10,'Test Cases'!$C$5:$C$81,"P1")</f>
        <v>6</v>
      </c>
      <c r="D10" s="13" t="n">
        <f aca="false">COUNTIFS('Test Cases'!$B$5:$B$81,A10,'Test Cases'!$H$5:$H$81,"&lt;&gt;")</f>
        <v>0</v>
      </c>
      <c r="E10" s="13" t="n">
        <f aca="false">COUNTIFS('Test Cases'!$B$5:$B$81,A10,'Test Cases'!$H$5:$H$81,"PASS")</f>
        <v>0</v>
      </c>
      <c r="F10" s="13" t="n">
        <f aca="false">COUNTIFS('Test Cases'!$B$5:$B$81,A10,'Test Cases'!$H$5:$H$81,"FAIL")</f>
        <v>0</v>
      </c>
    </row>
    <row r="11" customFormat="false" ht="15" hidden="false" customHeight="false" outlineLevel="0" collapsed="false">
      <c r="A11" s="12" t="s">
        <v>196</v>
      </c>
      <c r="B11" s="13" t="n">
        <f aca="false">COUNTIF('Test Cases'!$B$5:$B$81,A11)</f>
        <v>6</v>
      </c>
      <c r="C11" s="13" t="n">
        <f aca="false">COUNTIFS('Test Cases'!$B$5:$B$81,A11,'Test Cases'!$C$5:$C$81,"P1")</f>
        <v>4</v>
      </c>
      <c r="D11" s="13" t="n">
        <f aca="false">COUNTIFS('Test Cases'!$B$5:$B$81,A11,'Test Cases'!$H$5:$H$81,"&lt;&gt;")</f>
        <v>0</v>
      </c>
      <c r="E11" s="13" t="n">
        <f aca="false">COUNTIFS('Test Cases'!$B$5:$B$81,A11,'Test Cases'!$H$5:$H$81,"PASS")</f>
        <v>0</v>
      </c>
      <c r="F11" s="13" t="n">
        <f aca="false">COUNTIFS('Test Cases'!$B$5:$B$81,A11,'Test Cases'!$H$5:$H$81,"FAIL")</f>
        <v>0</v>
      </c>
    </row>
    <row r="12" customFormat="false" ht="15" hidden="false" customHeight="false" outlineLevel="0" collapsed="false">
      <c r="A12" s="12" t="s">
        <v>225</v>
      </c>
      <c r="B12" s="13" t="n">
        <f aca="false">COUNTIF('Test Cases'!$B$5:$B$81,A12)</f>
        <v>4</v>
      </c>
      <c r="C12" s="13" t="n">
        <f aca="false">COUNTIFS('Test Cases'!$B$5:$B$81,A12,'Test Cases'!$C$5:$C$81,"P1")</f>
        <v>2</v>
      </c>
      <c r="D12" s="13" t="n">
        <f aca="false">COUNTIFS('Test Cases'!$B$5:$B$81,A12,'Test Cases'!$H$5:$H$81,"&lt;&gt;")</f>
        <v>0</v>
      </c>
      <c r="E12" s="13" t="n">
        <f aca="false">COUNTIFS('Test Cases'!$B$5:$B$81,A12,'Test Cases'!$H$5:$H$81,"PASS")</f>
        <v>0</v>
      </c>
      <c r="F12" s="13" t="n">
        <f aca="false">COUNTIFS('Test Cases'!$B$5:$B$81,A12,'Test Cases'!$H$5:$H$81,"FAIL")</f>
        <v>0</v>
      </c>
    </row>
    <row r="13" customFormat="false" ht="15" hidden="false" customHeight="false" outlineLevel="0" collapsed="false">
      <c r="A13" s="12" t="s">
        <v>245</v>
      </c>
      <c r="B13" s="13" t="n">
        <f aca="false">COUNTIF('Test Cases'!$B$5:$B$81,A13)</f>
        <v>3</v>
      </c>
      <c r="C13" s="13" t="n">
        <f aca="false">COUNTIFS('Test Cases'!$B$5:$B$81,A13,'Test Cases'!$C$5:$C$81,"P1")</f>
        <v>2</v>
      </c>
      <c r="D13" s="13" t="n">
        <f aca="false">COUNTIFS('Test Cases'!$B$5:$B$81,A13,'Test Cases'!$H$5:$H$81,"&lt;&gt;")</f>
        <v>0</v>
      </c>
      <c r="E13" s="13" t="n">
        <f aca="false">COUNTIFS('Test Cases'!$B$5:$B$81,A13,'Test Cases'!$H$5:$H$81,"PASS")</f>
        <v>0</v>
      </c>
      <c r="F13" s="13" t="n">
        <f aca="false">COUNTIFS('Test Cases'!$B$5:$B$81,A13,'Test Cases'!$H$5:$H$81,"FAIL")</f>
        <v>0</v>
      </c>
    </row>
    <row r="14" customFormat="false" ht="15" hidden="false" customHeight="false" outlineLevel="0" collapsed="false">
      <c r="A14" s="12" t="s">
        <v>261</v>
      </c>
      <c r="B14" s="13" t="n">
        <f aca="false">COUNTIF('Test Cases'!$B$5:$B$81,A14)</f>
        <v>4</v>
      </c>
      <c r="C14" s="13" t="n">
        <f aca="false">COUNTIFS('Test Cases'!$B$5:$B$81,A14,'Test Cases'!$C$5:$C$81,"P1")</f>
        <v>2</v>
      </c>
      <c r="D14" s="13" t="n">
        <f aca="false">COUNTIFS('Test Cases'!$B$5:$B$81,A14,'Test Cases'!$H$5:$H$81,"&lt;&gt;")</f>
        <v>0</v>
      </c>
      <c r="E14" s="13" t="n">
        <f aca="false">COUNTIFS('Test Cases'!$B$5:$B$81,A14,'Test Cases'!$H$5:$H$81,"PASS")</f>
        <v>0</v>
      </c>
      <c r="F14" s="13" t="n">
        <f aca="false">COUNTIFS('Test Cases'!$B$5:$B$81,A14,'Test Cases'!$H$5:$H$81,"FAIL")</f>
        <v>0</v>
      </c>
    </row>
    <row r="15" customFormat="false" ht="15" hidden="false" customHeight="false" outlineLevel="0" collapsed="false">
      <c r="A15" s="12" t="s">
        <v>282</v>
      </c>
      <c r="B15" s="13" t="n">
        <f aca="false">COUNTIF('Test Cases'!$B$5:$B$81,A15)</f>
        <v>3</v>
      </c>
      <c r="C15" s="13" t="n">
        <f aca="false">COUNTIFS('Test Cases'!$B$5:$B$81,A15,'Test Cases'!$C$5:$C$81,"P1")</f>
        <v>3</v>
      </c>
      <c r="D15" s="13" t="n">
        <f aca="false">COUNTIFS('Test Cases'!$B$5:$B$81,A15,'Test Cases'!$H$5:$H$81,"&lt;&gt;")</f>
        <v>0</v>
      </c>
      <c r="E15" s="13" t="n">
        <f aca="false">COUNTIFS('Test Cases'!$B$5:$B$81,A15,'Test Cases'!$H$5:$H$81,"PASS")</f>
        <v>0</v>
      </c>
      <c r="F15" s="13" t="n">
        <f aca="false">COUNTIFS('Test Cases'!$B$5:$B$81,A15,'Test Cases'!$H$5:$H$81,"FAIL")</f>
        <v>0</v>
      </c>
    </row>
    <row r="16" customFormat="false" ht="15" hidden="false" customHeight="false" outlineLevel="0" collapsed="false">
      <c r="A16" s="12" t="s">
        <v>298</v>
      </c>
      <c r="B16" s="13" t="n">
        <f aca="false">COUNTIF('Test Cases'!$B$5:$B$81,A16)</f>
        <v>7</v>
      </c>
      <c r="C16" s="13" t="n">
        <f aca="false">COUNTIFS('Test Cases'!$B$5:$B$81,A16,'Test Cases'!$C$5:$C$81,"P1")</f>
        <v>5</v>
      </c>
      <c r="D16" s="13" t="n">
        <f aca="false">COUNTIFS('Test Cases'!$B$5:$B$81,A16,'Test Cases'!$H$5:$H$81,"&lt;&gt;")</f>
        <v>0</v>
      </c>
      <c r="E16" s="13" t="n">
        <f aca="false">COUNTIFS('Test Cases'!$B$5:$B$81,A16,'Test Cases'!$H$5:$H$81,"PASS")</f>
        <v>0</v>
      </c>
      <c r="F16" s="13" t="n">
        <f aca="false">COUNTIFS('Test Cases'!$B$5:$B$81,A16,'Test Cases'!$H$5:$H$81,"FAIL")</f>
        <v>0</v>
      </c>
    </row>
    <row r="17" customFormat="false" ht="15" hidden="false" customHeight="false" outlineLevel="0" collapsed="false">
      <c r="A17" s="12" t="s">
        <v>332</v>
      </c>
      <c r="B17" s="13" t="n">
        <f aca="false">COUNTIF('Test Cases'!$B$5:$B$81,A17)</f>
        <v>9</v>
      </c>
      <c r="C17" s="13" t="n">
        <f aca="false">COUNTIFS('Test Cases'!$B$5:$B$81,A17,'Test Cases'!$C$5:$C$81,"P1")</f>
        <v>5</v>
      </c>
      <c r="D17" s="13" t="n">
        <f aca="false">COUNTIFS('Test Cases'!$B$5:$B$81,A17,'Test Cases'!$H$5:$H$81,"&lt;&gt;")</f>
        <v>0</v>
      </c>
      <c r="E17" s="13" t="n">
        <f aca="false">COUNTIFS('Test Cases'!$B$5:$B$81,A17,'Test Cases'!$H$5:$H$81,"PASS")</f>
        <v>0</v>
      </c>
      <c r="F17" s="13" t="n">
        <f aca="false">COUNTIFS('Test Cases'!$B$5:$B$81,A17,'Test Cases'!$H$5:$H$81,"FAIL")</f>
        <v>0</v>
      </c>
    </row>
    <row r="18" customFormat="false" ht="15" hidden="false" customHeight="false" outlineLevel="0" collapsed="false">
      <c r="A18" s="14" t="s">
        <v>381</v>
      </c>
      <c r="B18" s="15" t="n">
        <f aca="false">SUM(B6:B17)</f>
        <v>77</v>
      </c>
      <c r="C18" s="15" t="n">
        <f aca="false">SUM(C6:C17)</f>
        <v>55</v>
      </c>
      <c r="D18" s="15" t="n">
        <f aca="false">SUM(D6:D17)</f>
        <v>0</v>
      </c>
      <c r="E18" s="15" t="n">
        <f aca="false">SUM(E6:E17)</f>
        <v>0</v>
      </c>
      <c r="F18" s="15" t="n">
        <f aca="false">SUM(F6:F17)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2026-08-11T19:59:36Z</dcterms:created>
  <dc:creator>openpyxl</dc:creator>
  <dc:description/>
  <dc:language>en-US</dc:language>
  <cp:lastModifiedBy/>
  <dcterms:modified xsi:type="dcterms:W3CDTF">2026-08-11T19:59:36Z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