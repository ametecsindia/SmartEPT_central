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Cases'!$A$4:$K$51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<sst xmlns="http://schemas.openxmlformats.org/spreadsheetml/2006/main" count="307" uniqueCount="232">
  <si>
    <t xml:space="preserve">SmartEPT — Licence Change Flows · Test Case Suite</t>
  </si>
  <si>
    <t xml:space="preserve">SR-07 · 12 August 2026 · covers Central face8e7 (admin billed upgrade, downgrade-at-renewal, perpetual upgrade, self-service .lic) · run locally in Laragon first, then on live · P1 must-pass before go-live</t>
  </si>
  <si>
    <t xml:space="preserve">TC ID</t>
  </si>
  <si>
    <t xml:space="preserve">Area</t>
  </si>
  <si>
    <t xml:space="preserve">Priority</t>
  </si>
  <si>
    <t xml:space="preserve">Title</t>
  </si>
  <si>
    <t xml:space="preserve">Preconditions</t>
  </si>
  <si>
    <t xml:space="preserve">Steps</t>
  </si>
  <si>
    <t xml:space="preserve">Expected Result</t>
  </si>
  <si>
    <t xml:space="preserve">Result</t>
  </si>
  <si>
    <t xml:space="preserve">Tested By</t>
  </si>
  <si>
    <t xml:space="preserve">Date</t>
  </si>
  <si>
    <t xml:space="preserve">Notes</t>
  </si>
  <si>
    <t xml:space="preserve">A. Migration &amp; automated tests</t>
  </si>
  <si>
    <t xml:space="preserve">TC-A01</t>
  </si>
  <si>
    <t xml:space="preserve">Migration &amp; automated tests</t>
  </si>
  <si>
    <t xml:space="preserve">P1</t>
  </si>
  <si>
    <t xml:space="preserve">Migration adds renewal_device_limit cleanly</t>
  </si>
  <si>
    <t xml:space="preserve">Central at face8e7; local Laragon DB</t>
  </si>
  <si>
    <t xml:space="preserve">1. php artisan migrate
2. DESCRIBE licences</t>
  </si>
  <si>
    <t xml:space="preserve">2026_08_12_000500 runs clean; renewal_device_limit nullable UNSIGNED INT after device_limit; no ENUMs; no data lost</t>
  </si>
  <si>
    <t xml:space="preserve">TC-A02</t>
  </si>
  <si>
    <t xml:space="preserve">LicenceChangeFlowsTest green</t>
  </si>
  <si>
    <t xml:space="preserve">-</t>
  </si>
  <si>
    <t xml:space="preserve">1. php artisan test --filter=LicenceChangeFlowsTest</t>
  </si>
  <si>
    <t xml:space="preserve">All 5 tests pass (incl. the exact ₹10,000 + ₹1,800 GST interpolated-difference case)</t>
  </si>
  <si>
    <t xml:space="preserve">TC-A03</t>
  </si>
  <si>
    <t xml:space="preserve">Progressive pricing regression green</t>
  </si>
  <si>
    <t xml:space="preserve">1. php artisan test --filter=PerpetualProgressivePricingTest</t>
  </si>
  <si>
    <t xml:space="preserve">Full acceptance matrix still passes — the upgrade engine changed nothing in base pricing</t>
  </si>
  <si>
    <t xml:space="preserve">TC-A04</t>
  </si>
  <si>
    <t xml:space="preserve">P2</t>
  </si>
  <si>
    <t xml:space="preserve">Migration rollback clean</t>
  </si>
  <si>
    <t xml:space="preserve">Migration applied</t>
  </si>
  <si>
    <t xml:space="preserve">1. php artisan migrate:rollback --step=1
2. Re-migrate</t>
  </si>
  <si>
    <t xml:space="preserve">Column drops and re-adds without error</t>
  </si>
  <si>
    <t xml:space="preserve">B. Admin billed upgrade — cloud subscription</t>
  </si>
  <si>
    <t xml:space="preserve">TC-B01</t>
  </si>
  <si>
    <t xml:space="preserve">Admin billed upgrade — cloud subscription</t>
  </si>
  <si>
    <t xml:space="preserve">Upgrade… button appears on active licences only</t>
  </si>
  <si>
    <t xml:space="preserve">Licences list with active + suspended + trial rows</t>
  </si>
  <si>
    <t xml:space="preserve">1. Central admin → Licences
2. Compare rows</t>
  </si>
  <si>
    <t xml:space="preserve">Active subscription &amp; perpetual rows show Upgrade…; suspended/expired/trial rows do not</t>
  </si>
  <si>
    <t xml:space="preserve">TC-B02</t>
  </si>
  <si>
    <t xml:space="preserve">Pro-rata order raised with GST paper trail</t>
  </si>
  <si>
    <t xml:space="preserve">Active annual cloud subscription, e.g. 25 users, months remaining</t>
  </si>
  <si>
    <t xml:space="preserve">1. Upgrade… → new total 30 → Raise upgrade order</t>
  </si>
  <si>
    <t xml:space="preserve">Order number returned; description 'Mid-period upgrade 25 → 30 users — pro-rata for N remaining day(s)'; total = diff/month × remaining months + 18% GST; pay link copyable</t>
  </si>
  <si>
    <t xml:space="preserve">TC-B03</t>
  </si>
  <si>
    <t xml:space="preserve">Recording payment applies the new limit instantly</t>
  </si>
  <si>
    <t xml:space="preserve">Upgrade order from previous case</t>
  </si>
  <si>
    <t xml:space="preserve">1. Billing → the order → Record payment (full)
2. Licences list</t>
  </si>
  <si>
    <t xml:space="preserve">Licence shows the new limit; expiry date UNCHANGED; licence History shows upgrade_order + order paid; GST invoice issued in the shared series</t>
  </si>
  <si>
    <t xml:space="preserve">TC-B04</t>
  </si>
  <si>
    <t xml:space="preserve">Reduction attempt rejected with guidance</t>
  </si>
  <si>
    <t xml:space="preserve">Active 30-user subscription</t>
  </si>
  <si>
    <t xml:space="preserve">1. Upgrade… → enter 20</t>
  </si>
  <si>
    <t xml:space="preserve">422: 'Enter a user count higher than the current 30 — reductions apply at renewal, not mid-period'</t>
  </si>
  <si>
    <t xml:space="preserve">TC-B05</t>
  </si>
  <si>
    <t xml:space="preserve">Expired-period subscription refused (renew instead)</t>
  </si>
  <si>
    <t xml:space="preserve">Subscription past expiry</t>
  </si>
  <si>
    <t xml:space="preserve">1. Upgrade… → any higher count</t>
  </si>
  <si>
    <t xml:space="preserve">422: 'no remaining period — use Renew instead'</t>
  </si>
  <si>
    <t xml:space="preserve">C. Admin billed upgrade — perpetual</t>
  </si>
  <si>
    <t xml:space="preserve">TC-C01</t>
  </si>
  <si>
    <t xml:space="preserve">Admin billed upgrade — perpetual</t>
  </si>
  <si>
    <t xml:space="preserve">Exact interpolated difference on example bands</t>
  </si>
  <si>
    <t xml:space="preserve">Perpetual licence 15 users; bands 15→₹15k, 30→₹25k configured</t>
  </si>
  <si>
    <t xml:space="preserve">1. Upgrade… on the perpetual row → 30 users → Raise order</t>
  </si>
  <si>
    <t xml:space="preserve">Subtotal exactly ₹10,000; GST ₹1,800; total ₹11,800; description 'Lifetime licence upgrade 15 → 30 users — one-time price difference'</t>
  </si>
  <si>
    <t xml:space="preserve">TC-C02</t>
  </si>
  <si>
    <t xml:space="preserve">Payment raises limit; AMC re-bases next cycle</t>
  </si>
  <si>
    <t xml:space="preserve">Order from previous case</t>
  </si>
  <si>
    <t xml:space="preserve">1. Record payment
2. Later: raise AMC quote for this client</t>
  </si>
  <si>
    <t xml:space="preserve">device_limit = 30 immediately; the NEXT AMC quote prices 18% of the 30-user interpolated price (amcQuote reads prevailing count)</t>
  </si>
  <si>
    <t xml:space="preserve">TC-C03</t>
  </si>
  <si>
    <t xml:space="preserve">Above priced bands → custom quote, never a price</t>
  </si>
  <si>
    <t xml:space="preserve">Bands end at 100 users</t>
  </si>
  <si>
    <t xml:space="preserve">1. Upgrade… → 150 users</t>
  </si>
  <si>
    <t xml:space="preserve">422 custom-quotation message with WhatsApp number; NO order created; ₹0 impossible</t>
  </si>
  <si>
    <t xml:space="preserve">TC-C04</t>
  </si>
  <si>
    <t xml:space="preserve">Perpetual reduction rejected</t>
  </si>
  <si>
    <t xml:space="preserve">Perpetual 30 users</t>
  </si>
  <si>
    <t xml:space="preserve">1. Upgrade… → 20</t>
  </si>
  <si>
    <t xml:space="preserve">422: 'a lifetime licence never reduces once purchased'</t>
  </si>
  <si>
    <t xml:space="preserve">TC-C05</t>
  </si>
  <si>
    <t xml:space="preserve">Modal wording is kind-aware</t>
  </si>
  <si>
    <t xml:space="preserve">1. Open Upgrade… on a subscription, then on a perpetual</t>
  </si>
  <si>
    <t xml:space="preserve">Subscription modal explains pro-rata/expiry-unchanged; perpetual modal explains one-time difference + .lic re-issue note</t>
  </si>
  <si>
    <t xml:space="preserve">D. Downgrade-at-renewal — admin side</t>
  </si>
  <si>
    <t xml:space="preserve">TC-D01</t>
  </si>
  <si>
    <t xml:space="preserve">Downgrade-at-renewal — admin side</t>
  </si>
  <si>
    <t xml:space="preserve">Edit licence schedules a reduction</t>
  </si>
  <si>
    <t xml:space="preserve">Active 40-user subscription</t>
  </si>
  <si>
    <t xml:space="preserve">1. Edit → 'Reduce to (at next renewal)' = 25 → Save
2. Licences list</t>
  </si>
  <si>
    <t xml:space="preserve">Saved; row shows amber '↓ 25 at renewal'; History shows licence.edited with renewal_device_limit</t>
  </si>
  <si>
    <t xml:space="preserve">TC-D02</t>
  </si>
  <si>
    <t xml:space="preserve">Guard: not below devices in use</t>
  </si>
  <si>
    <t xml:space="preserve">Licence with 10 active devices</t>
  </si>
  <si>
    <t xml:space="preserve">1. Edit → reduction = 5 → Save</t>
  </si>
  <si>
    <t xml:space="preserve">422: 'Scheduled reduction is below the devices currently in use — free seats first'</t>
  </si>
  <si>
    <t xml:space="preserve">TC-D03</t>
  </si>
  <si>
    <t xml:space="preserve">Blank clears the schedule</t>
  </si>
  <si>
    <t xml:space="preserve">Schedule set</t>
  </si>
  <si>
    <t xml:space="preserve">1. Edit → clear the field → Save</t>
  </si>
  <si>
    <t xml:space="preserve">renewal_device_limit NULL; badge gone</t>
  </si>
  <si>
    <t xml:space="preserve">E. Downgrade-at-renewal — portal + billing</t>
  </si>
  <si>
    <t xml:space="preserve">TC-E01</t>
  </si>
  <si>
    <t xml:space="preserve">Downgrade-at-renewal — portal + billing</t>
  </si>
  <si>
    <t xml:space="preserve">Portal card schedules a reduction</t>
  </si>
  <si>
    <t xml:space="preserve">Client portal login; active 40-user subscription; 3 devices in use</t>
  </si>
  <si>
    <t xml:space="preserve">1. Buy &amp; Renew → 'Reduce users at next renewal' → 25 → Schedule</t>
  </si>
  <si>
    <t xml:space="preserve">Toast confirms; card shows 'Scheduled: your next renewal reduces to 25 users'; Cancel button appears; audit client.schedule_reduction</t>
  </si>
  <si>
    <t xml:space="preserve">TC-E02</t>
  </si>
  <si>
    <t xml:space="preserve">Renewal order bills the REDUCED size</t>
  </si>
  <si>
    <t xml:space="preserve">Schedule = 25 on a 40-user licence</t>
  </si>
  <si>
    <t xml:space="preserve">1. Portal → Renew now (or admin raises renewal)
2. Inspect order</t>
  </si>
  <si>
    <t xml:space="preserve">Order line priced for 25 devices; description contains '25 devices' + 'scheduled reduction from 40 users applies on payment'; meta apply_device_limit = 25</t>
  </si>
  <si>
    <t xml:space="preserve">TC-E03</t>
  </si>
  <si>
    <t xml:space="preserve">Payment applies reduction and clears schedule</t>
  </si>
  <si>
    <t xml:space="preserve">Renewal order from previous case</t>
  </si>
  <si>
    <t xml:space="preserve">1. Record payment / pay
2. Check licence</t>
  </si>
  <si>
    <t xml:space="preserve">device_limit = 25; renewal_device_limit = NULL; expiry extended one period; portal card no longer shows a schedule</t>
  </si>
  <si>
    <t xml:space="preserve">TC-E04</t>
  </si>
  <si>
    <t xml:space="preserve">Portal guard: not a reduction / below devices in use</t>
  </si>
  <si>
    <t xml:space="preserve">40-user licence, 3 devices in use</t>
  </si>
  <si>
    <t xml:space="preserve">1. Try scheduling 45
2. Try scheduling 2</t>
  </si>
  <si>
    <t xml:space="preserve">45 → 'That is not a reduction — use the mid-period upgrade'; 2 → 'You currently have 3 device(s) in use…'</t>
  </si>
  <si>
    <t xml:space="preserve">TC-E05</t>
  </si>
  <si>
    <t xml:space="preserve">Cancel schedule works</t>
  </si>
  <si>
    <t xml:space="preserve">1. Portal card → Cancel schedule</t>
  </si>
  <si>
    <t xml:space="preserve">renewal_device_limit NULL; message 'renewals bill your current size again'</t>
  </si>
  <si>
    <t xml:space="preserve">TC-E06</t>
  </si>
  <si>
    <t xml:space="preserve">Perpetual cannot schedule a reduction</t>
  </si>
  <si>
    <t xml:space="preserve">Perpetual licence id</t>
  </si>
  <si>
    <t xml:space="preserve">1. POST client/api/licences/{id}/schedule-reduction devices=10</t>
  </si>
  <si>
    <t xml:space="preserve">422: 'Only Cloud subscriptions reduce at renewal — a lifetime licence never reduces once purchased'</t>
  </si>
  <si>
    <t xml:space="preserve">TC-E07</t>
  </si>
  <si>
    <t xml:space="preserve">P3</t>
  </si>
  <si>
    <t xml:space="preserve">Renewal without schedule unchanged (regression)</t>
  </si>
  <si>
    <t xml:space="preserve">No schedule</t>
  </si>
  <si>
    <t xml:space="preserve">1. Renew and pay</t>
  </si>
  <si>
    <t xml:space="preserve">Billed at current size; limit unchanged; identical to pre-change behaviour</t>
  </si>
  <si>
    <t xml:space="preserve">F. Portal upgrade cards &amp; visibility</t>
  </si>
  <si>
    <t xml:space="preserve">TC-F01</t>
  </si>
  <si>
    <t xml:space="preserve">Portal upgrade cards &amp; visibility</t>
  </si>
  <si>
    <t xml:space="preserve">Perpetual tenant sees lifetime upgrade card</t>
  </si>
  <si>
    <t xml:space="preserve">Portal login of a perpetual client (active)</t>
  </si>
  <si>
    <t xml:space="preserve">1. Buy &amp; Renew</t>
  </si>
  <si>
    <t xml:space="preserve">'Add users to your lifetime licence' card with one-time-difference wording + never-reduces note; Get upgrade amount &amp; pay works end-to-end via pay page</t>
  </si>
  <si>
    <t xml:space="preserve">TC-F02</t>
  </si>
  <si>
    <t xml:space="preserve">Cloud tenant still sees pro-rata card (regression)</t>
  </si>
  <si>
    <t xml:space="preserve">Active cloud subscription with days remaining</t>
  </si>
  <si>
    <t xml:space="preserve">'Add users mid-period (pro-rata)' card exactly as before; payment raises seats instantly</t>
  </si>
  <si>
    <t xml:space="preserve">TC-F03</t>
  </si>
  <si>
    <t xml:space="preserve">Why-not note replaces silence</t>
  </si>
  <si>
    <t xml:space="preserve">Trial tenant portal; then an expired tenant</t>
  </si>
  <si>
    <t xml:space="preserve">1. Buy &amp; Renew on each</t>
  </si>
  <si>
    <t xml:space="preserve">Trial: 'Trials upgrade by buying a plan below…'; expired: 'Your licence is expired — renew or contact us…' — never a blank page</t>
  </si>
  <si>
    <t xml:space="preserve">TC-F04</t>
  </si>
  <si>
    <t xml:space="preserve">Portal upgrade endpoint branches by kind</t>
  </si>
  <si>
    <t xml:space="preserve">Perpetual licence via API</t>
  </si>
  <si>
    <t xml:space="preserve">1. POST client/api/licences/{id}/upgrade devices=30</t>
  </si>
  <si>
    <t xml:space="preserve">Order created via createPerpetualUpgradeOrder (description says lifetime price difference), not the pro-rata engine</t>
  </si>
  <si>
    <t xml:space="preserve">G. Self-service .lic re-download</t>
  </si>
  <si>
    <t xml:space="preserve">TC-G01</t>
  </si>
  <si>
    <t xml:space="preserve">Self-service .lic re-download</t>
  </si>
  <si>
    <t xml:space="preserve">Bound licence downloads a fresh signed .lic</t>
  </si>
  <si>
    <t xml:space="preserve">Client-hosted active licence WITH server_fingerprint; portal login</t>
  </si>
  <si>
    <t xml:space="preserve">1. Portal → Licences → Download licence file (.lic)
2. Import on the product Licence screen</t>
  </si>
  <si>
    <t xml:space="preserve">File downloads (correct filename); product imports and activates; bundle carries CURRENT device_limit; audit licence.file_issued by client:&lt;email&gt;</t>
  </si>
  <si>
    <t xml:space="preserve">TC-G02</t>
  </si>
  <si>
    <t xml:space="preserve">Unbound licence gets guidance, not a file</t>
  </si>
  <si>
    <t xml:space="preserve">Client-hosted licence with NO fingerprint</t>
  </si>
  <si>
    <t xml:space="preserve">1. Portal → Licences</t>
  </si>
  <si>
    <t xml:space="preserve">Message: 'available once your server has validated online once (or send us its fingerprint…)'; endpoint returns 422 if called directly</t>
  </si>
  <si>
    <t xml:space="preserve">TC-G03</t>
  </si>
  <si>
    <t xml:space="preserve">Client can NEVER set a new fingerprint</t>
  </si>
  <si>
    <t xml:space="preserve">Bound licence</t>
  </si>
  <si>
    <t xml:space="preserve">1. POST client/api/licences/{id}/license-file with a 'fingerprint' body field</t>
  </si>
  <si>
    <t xml:space="preserve">Field ignored — file is signed with the STORED fingerprint only; moving machines still requires admin Shift machine</t>
  </si>
  <si>
    <t xml:space="preserve">TC-G04</t>
  </si>
  <si>
    <t xml:space="preserve">Cloud-deployment client refused politely</t>
  </si>
  <si>
    <t xml:space="preserve">Cloud tenant portal</t>
  </si>
  <si>
    <t xml:space="preserve">1. Call the license-file endpoint</t>
  </si>
  <si>
    <t xml:space="preserve">422: 'Licence files are for self-hosted servers — your Cloud console is licensed automatically'</t>
  </si>
  <si>
    <t xml:space="preserve">TC-G05</t>
  </si>
  <si>
    <t xml:space="preserve">Post-upgrade .lic carries the new seat count</t>
  </si>
  <si>
    <t xml:space="preserve">Perpetual client upgraded 15→30 and paid</t>
  </si>
  <si>
    <t xml:space="preserve">1. Re-download .lic
2. Import on server</t>
  </si>
  <si>
    <t xml:space="preserve">Product Licence screen shows 25→30-seat entitlement (new device_limit) after import</t>
  </si>
  <si>
    <t xml:space="preserve">TC-G06</t>
  </si>
  <si>
    <t xml:space="preserve">Cross-tenant access blocked</t>
  </si>
  <si>
    <t xml:space="preserve">Two tenants; tenant B's licence id</t>
  </si>
  <si>
    <t xml:space="preserve">1. As tenant A, call license-file / upgrade / schedule-reduction on B's id</t>
  </si>
  <si>
    <t xml:space="preserve">404 on every endpoint (tenant scoping)</t>
  </si>
  <si>
    <t xml:space="preserve">TC-G07</t>
  </si>
  <si>
    <t xml:space="preserve">Admin Licence file button unchanged (regression)</t>
  </si>
  <si>
    <t xml:space="preserve">1. Admin → Licences → Licence file (with and without stored fingerprint)</t>
  </si>
  <si>
    <t xml:space="preserve">Behaviour identical to 6-Aug build incl. fingerprint remembering and re-download</t>
  </si>
  <si>
    <t xml:space="preserve">H. Paper trail &amp; money regression</t>
  </si>
  <si>
    <t xml:space="preserve">TC-H01</t>
  </si>
  <si>
    <t xml:space="preserve">Paper trail &amp; money regression</t>
  </si>
  <si>
    <t xml:space="preserve">GST invoice issued in the shared series for upgrades</t>
  </si>
  <si>
    <t xml:space="preserve">Paid admin upgrade order</t>
  </si>
  <si>
    <t xml:space="preserve">1. Billing → Invoices</t>
  </si>
  <si>
    <t xml:space="preserve">Invoice numbered in the single EPT-{FY} series; amounts match order (subtotal/GST/total); appears in client portal invoices</t>
  </si>
  <si>
    <t xml:space="preserve">TC-H02</t>
  </si>
  <si>
    <t xml:space="preserve">History timeline complete</t>
  </si>
  <si>
    <t xml:space="preserve">Licence that was upgraded + scheduled + .lic-downloaded</t>
  </si>
  <si>
    <t xml:space="preserve">1. Admin → Licences → History</t>
  </si>
  <si>
    <t xml:space="preserve">Timeline shows upgrade_order, order paid, licence.edited (schedule), file_issued (client) — nothing missing</t>
  </si>
  <si>
    <t xml:space="preserve">TC-H03</t>
  </si>
  <si>
    <t xml:space="preserve">USD tenant upgrade converts currency</t>
  </si>
  <si>
    <t xml:space="preserve">Tenant with currency USD</t>
  </si>
  <si>
    <t xml:space="preserve">1. Raise an upgrade order</t>
  </si>
  <si>
    <t xml:space="preserve">Line converted at usd_inr_rate; GST 0 for USD; '(USD)' suffix on the line</t>
  </si>
  <si>
    <t xml:space="preserve">TC-H04</t>
  </si>
  <si>
    <t xml:space="preserve">Existing flows untouched (Central smoke)</t>
  </si>
  <si>
    <t xml:space="preserve">1. php artisan test (full Central suite) or test.bat</t>
  </si>
  <si>
    <t xml:space="preserve">FinancialFlowTest, GstInvoiceTest, ClientPortalTest, CentralSmokeTest all green</t>
  </si>
  <si>
    <t xml:space="preserve">Fill in: Result (Pass / Fail / Blocked / Not Tested), Tested By, Date, Notes. Any P1 = Fail → report to Ejaz immediately. Sign-off: every P1 Pass ⇒ licence change flows approved for live.</t>
  </si>
  <si>
    <t xml:space="preserve">Execution Summary — auto-computed from the Test Cases sheet</t>
  </si>
  <si>
    <t xml:space="preserve">Metric</t>
  </si>
  <si>
    <t xml:space="preserve">Count</t>
  </si>
  <si>
    <t xml:space="preserve">Total test cases</t>
  </si>
  <si>
    <t xml:space="preserve">P1 (must-pass)</t>
  </si>
  <si>
    <t xml:space="preserve">Passed</t>
  </si>
  <si>
    <t xml:space="preserve">Failed</t>
  </si>
  <si>
    <t xml:space="preserve">Blocked</t>
  </si>
  <si>
    <t xml:space="preserve">Not tested / blank</t>
  </si>
  <si>
    <t xml:space="preserve">Sign-off rule: every P1 = Pass ⇒ approved for live. Any P1 Fail ⇒ stop, report, fix, re-run.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</si>
</sst>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373"/>
      <name val="Arial"/>
      <family val="0"/>
      <charset val="1"/>
    </font>
    <font>
      <sz val="9"/>
      <color rgb="FF565A66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0B6373"/>
      <name val="Arial"/>
      <family val="0"/>
      <charset val="1"/>
    </font>
    <font>
      <b val="true"/>
      <sz val="9"/>
      <color rgb="FF15171C"/>
      <name val="Arial"/>
      <family val="0"/>
      <charset val="1"/>
    </font>
    <font>
      <sz val="9"/>
      <color rgb="FF15171C"/>
      <name val="Arial"/>
      <family val="0"/>
      <charset val="1"/>
    </font>
    <font>
      <b val="true"/>
      <sz val="9"/>
      <color rgb="FFD02748"/>
      <name val="Arial"/>
      <family val="0"/>
      <charset val="1"/>
    </font>
    <font>
      <b val="true"/>
      <sz val="9"/>
      <color rgb="FFB7791F"/>
      <name val="Arial"/>
      <family val="0"/>
      <charset val="1"/>
    </font>
    <font>
      <i val="true"/>
      <sz val="9"/>
      <color rgb="FF565A66"/>
      <name val="Arial"/>
      <family val="0"/>
      <charset val="1"/>
    </font>
    <font>
      <b val="true"/>
      <sz val="13"/>
      <color rgb="FF0B63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8F"/>
        <bgColor rgb="FF0B6373"/>
      </patternFill>
    </fill>
    <fill>
      <patternFill patternType="solid">
        <fgColor rgb="FFE3F4F7"/>
        <bgColor rgb="FFF0F1F4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0F1F4"/>
      </left>
      <right style="thin">
        <color rgb="FFF0F1F4"/>
      </right>
      <top style="thin">
        <color rgb="FFF0F1F4"/>
      </top>
      <bottom style="thin">
        <color rgb="FFF0F1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7C8F"/>
          <bgColor rgb="FF000000"/>
        </patternFill>
      </fill>
    </dxf>
    <dxf>
      <fill>
        <patternFill patternType="solid">
          <fgColor rgb="FFE3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6373"/>
          <bgColor rgb="FF000000"/>
        </patternFill>
      </fill>
    </dxf>
    <dxf>
      <fill>
        <patternFill patternType="solid">
          <fgColor rgb="FF1517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0274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E7C8F"/>
      <rgbColor rgb="FFC0C0C0"/>
      <rgbColor rgb="FF808080"/>
      <rgbColor rgb="FF9999FF"/>
      <rgbColor rgb="FFD02748"/>
      <rgbColor rgb="FFFAFBFC"/>
      <rgbColor rgb="FFE3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B6373"/>
      <rgbColor rgb="FF0000FF"/>
      <rgbColor rgb="FF00CCFF"/>
      <rgbColor rgb="FFF0F1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66"/>
      <rgbColor rgb="FF969696"/>
      <rgbColor rgb="FF003366"/>
      <rgbColor rgb="FF339966"/>
      <rgbColor rgb="FF1517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2.35" hidden="false" customHeight="false" outlineLevel="0" collapsed="false">
      <c r="A6" s="5" t="s">
        <v>14</v>
      </c>
      <c r="B6" s="6" t="s">
        <v>15</v>
      </c>
      <c r="C6" s="7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8"/>
      <c r="I6" s="6"/>
      <c r="J6" s="8"/>
      <c r="K6" s="6"/>
    </row>
    <row r="7" customFormat="false" ht="22.35" hidden="false" customHeight="false" outlineLevel="0" collapsed="false">
      <c r="A7" s="5" t="s">
        <v>21</v>
      </c>
      <c r="B7" s="6" t="s">
        <v>15</v>
      </c>
      <c r="C7" s="7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8"/>
      <c r="I7" s="6"/>
      <c r="J7" s="8"/>
      <c r="K7" s="6"/>
    </row>
    <row r="8" customFormat="false" ht="22.35" hidden="false" customHeight="false" outlineLevel="0" collapsed="false">
      <c r="A8" s="5" t="s">
        <v>26</v>
      </c>
      <c r="B8" s="6" t="s">
        <v>15</v>
      </c>
      <c r="C8" s="7" t="s">
        <v>16</v>
      </c>
      <c r="D8" s="6" t="s">
        <v>27</v>
      </c>
      <c r="E8" s="6" t="s">
        <v>23</v>
      </c>
      <c r="F8" s="6" t="s">
        <v>28</v>
      </c>
      <c r="G8" s="6" t="s">
        <v>29</v>
      </c>
      <c r="H8" s="8"/>
      <c r="I8" s="6"/>
      <c r="J8" s="8"/>
      <c r="K8" s="6"/>
    </row>
    <row r="9" customFormat="false" ht="22.35" hidden="false" customHeight="false" outlineLevel="0" collapsed="false">
      <c r="A9" s="5" t="s">
        <v>30</v>
      </c>
      <c r="B9" s="6" t="s">
        <v>15</v>
      </c>
      <c r="C9" s="9" t="s">
        <v>31</v>
      </c>
      <c r="D9" s="6" t="s">
        <v>32</v>
      </c>
      <c r="E9" s="6" t="s">
        <v>33</v>
      </c>
      <c r="F9" s="6" t="s">
        <v>34</v>
      </c>
      <c r="G9" s="6" t="s">
        <v>35</v>
      </c>
      <c r="H9" s="8"/>
      <c r="I9" s="6"/>
      <c r="J9" s="8"/>
      <c r="K9" s="6"/>
    </row>
    <row r="10" customFormat="false" ht="15" hidden="false" customHeight="false" outlineLevel="0" collapsed="false">
      <c r="A10" s="4" t="s">
        <v>36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22.35" hidden="false" customHeight="false" outlineLevel="0" collapsed="false">
      <c r="A11" s="5" t="s">
        <v>37</v>
      </c>
      <c r="B11" s="6" t="s">
        <v>38</v>
      </c>
      <c r="C11" s="7" t="s">
        <v>16</v>
      </c>
      <c r="D11" s="6" t="s">
        <v>39</v>
      </c>
      <c r="E11" s="6" t="s">
        <v>40</v>
      </c>
      <c r="F11" s="6" t="s">
        <v>41</v>
      </c>
      <c r="G11" s="6" t="s">
        <v>42</v>
      </c>
      <c r="H11" s="8"/>
      <c r="I11" s="6"/>
      <c r="J11" s="8"/>
      <c r="K11" s="6"/>
    </row>
    <row r="12" customFormat="false" ht="32.8" hidden="false" customHeight="false" outlineLevel="0" collapsed="false">
      <c r="A12" s="5" t="s">
        <v>43</v>
      </c>
      <c r="B12" s="6" t="s">
        <v>38</v>
      </c>
      <c r="C12" s="7" t="s">
        <v>16</v>
      </c>
      <c r="D12" s="6" t="s">
        <v>44</v>
      </c>
      <c r="E12" s="6" t="s">
        <v>45</v>
      </c>
      <c r="F12" s="6" t="s">
        <v>46</v>
      </c>
      <c r="G12" s="6" t="s">
        <v>47</v>
      </c>
      <c r="H12" s="8"/>
      <c r="I12" s="6"/>
      <c r="J12" s="8"/>
      <c r="K12" s="6"/>
    </row>
    <row r="13" customFormat="false" ht="32.8" hidden="false" customHeight="false" outlineLevel="0" collapsed="false">
      <c r="A13" s="5" t="s">
        <v>48</v>
      </c>
      <c r="B13" s="6" t="s">
        <v>38</v>
      </c>
      <c r="C13" s="7" t="s">
        <v>16</v>
      </c>
      <c r="D13" s="6" t="s">
        <v>49</v>
      </c>
      <c r="E13" s="6" t="s">
        <v>50</v>
      </c>
      <c r="F13" s="6" t="s">
        <v>51</v>
      </c>
      <c r="G13" s="6" t="s">
        <v>52</v>
      </c>
      <c r="H13" s="8"/>
      <c r="I13" s="6"/>
      <c r="J13" s="8"/>
      <c r="K13" s="6"/>
    </row>
    <row r="14" customFormat="false" ht="22.35" hidden="false" customHeight="false" outlineLevel="0" collapsed="false">
      <c r="A14" s="5" t="s">
        <v>53</v>
      </c>
      <c r="B14" s="6" t="s">
        <v>38</v>
      </c>
      <c r="C14" s="9" t="s">
        <v>31</v>
      </c>
      <c r="D14" s="6" t="s">
        <v>54</v>
      </c>
      <c r="E14" s="6" t="s">
        <v>55</v>
      </c>
      <c r="F14" s="6" t="s">
        <v>56</v>
      </c>
      <c r="G14" s="6" t="s">
        <v>57</v>
      </c>
      <c r="H14" s="8"/>
      <c r="I14" s="6"/>
      <c r="J14" s="8"/>
      <c r="K14" s="6"/>
    </row>
    <row r="15" customFormat="false" ht="22.35" hidden="false" customHeight="false" outlineLevel="0" collapsed="false">
      <c r="A15" s="5" t="s">
        <v>58</v>
      </c>
      <c r="B15" s="6" t="s">
        <v>38</v>
      </c>
      <c r="C15" s="9" t="s">
        <v>31</v>
      </c>
      <c r="D15" s="6" t="s">
        <v>59</v>
      </c>
      <c r="E15" s="6" t="s">
        <v>60</v>
      </c>
      <c r="F15" s="6" t="s">
        <v>61</v>
      </c>
      <c r="G15" s="6" t="s">
        <v>62</v>
      </c>
      <c r="H15" s="8"/>
      <c r="I15" s="6"/>
      <c r="J15" s="8"/>
      <c r="K15" s="6"/>
    </row>
    <row r="16" customFormat="false" ht="15" hidden="false" customHeight="false" outlineLevel="0" collapsed="false">
      <c r="A16" s="4" t="s">
        <v>63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22.35" hidden="false" customHeight="false" outlineLevel="0" collapsed="false">
      <c r="A17" s="5" t="s">
        <v>64</v>
      </c>
      <c r="B17" s="6" t="s">
        <v>65</v>
      </c>
      <c r="C17" s="7" t="s">
        <v>16</v>
      </c>
      <c r="D17" s="6" t="s">
        <v>66</v>
      </c>
      <c r="E17" s="6" t="s">
        <v>67</v>
      </c>
      <c r="F17" s="6" t="s">
        <v>68</v>
      </c>
      <c r="G17" s="6" t="s">
        <v>69</v>
      </c>
      <c r="H17" s="8"/>
      <c r="I17" s="6"/>
      <c r="J17" s="8"/>
      <c r="K17" s="6"/>
    </row>
    <row r="18" customFormat="false" ht="22.35" hidden="false" customHeight="false" outlineLevel="0" collapsed="false">
      <c r="A18" s="5" t="s">
        <v>70</v>
      </c>
      <c r="B18" s="6" t="s">
        <v>65</v>
      </c>
      <c r="C18" s="7" t="s">
        <v>16</v>
      </c>
      <c r="D18" s="6" t="s">
        <v>71</v>
      </c>
      <c r="E18" s="6" t="s">
        <v>72</v>
      </c>
      <c r="F18" s="6" t="s">
        <v>73</v>
      </c>
      <c r="G18" s="6" t="s">
        <v>74</v>
      </c>
      <c r="H18" s="8"/>
      <c r="I18" s="6"/>
      <c r="J18" s="8"/>
      <c r="K18" s="6"/>
    </row>
    <row r="19" customFormat="false" ht="22.35" hidden="false" customHeight="false" outlineLevel="0" collapsed="false">
      <c r="A19" s="5" t="s">
        <v>75</v>
      </c>
      <c r="B19" s="6" t="s">
        <v>65</v>
      </c>
      <c r="C19" s="7" t="s">
        <v>16</v>
      </c>
      <c r="D19" s="6" t="s">
        <v>76</v>
      </c>
      <c r="E19" s="6" t="s">
        <v>77</v>
      </c>
      <c r="F19" s="6" t="s">
        <v>78</v>
      </c>
      <c r="G19" s="6" t="s">
        <v>79</v>
      </c>
      <c r="H19" s="8"/>
      <c r="I19" s="6"/>
      <c r="J19" s="8"/>
      <c r="K19" s="6"/>
    </row>
    <row r="20" customFormat="false" ht="15" hidden="false" customHeight="false" outlineLevel="0" collapsed="false">
      <c r="A20" s="5" t="s">
        <v>80</v>
      </c>
      <c r="B20" s="6" t="s">
        <v>65</v>
      </c>
      <c r="C20" s="9" t="s">
        <v>31</v>
      </c>
      <c r="D20" s="6" t="s">
        <v>81</v>
      </c>
      <c r="E20" s="6" t="s">
        <v>82</v>
      </c>
      <c r="F20" s="6" t="s">
        <v>83</v>
      </c>
      <c r="G20" s="6" t="s">
        <v>84</v>
      </c>
      <c r="H20" s="8"/>
      <c r="I20" s="6"/>
      <c r="J20" s="8"/>
      <c r="K20" s="6"/>
    </row>
    <row r="21" customFormat="false" ht="22.35" hidden="false" customHeight="false" outlineLevel="0" collapsed="false">
      <c r="A21" s="5" t="s">
        <v>85</v>
      </c>
      <c r="B21" s="6" t="s">
        <v>65</v>
      </c>
      <c r="C21" s="9" t="s">
        <v>31</v>
      </c>
      <c r="D21" s="6" t="s">
        <v>86</v>
      </c>
      <c r="E21" s="6" t="s">
        <v>23</v>
      </c>
      <c r="F21" s="6" t="s">
        <v>87</v>
      </c>
      <c r="G21" s="6" t="s">
        <v>88</v>
      </c>
      <c r="H21" s="8"/>
      <c r="I21" s="6"/>
      <c r="J21" s="8"/>
      <c r="K21" s="6"/>
    </row>
    <row r="22" customFormat="false" ht="15" hidden="false" customHeight="false" outlineLevel="0" collapsed="false">
      <c r="A22" s="4" t="s">
        <v>89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22.35" hidden="false" customHeight="false" outlineLevel="0" collapsed="false">
      <c r="A23" s="5" t="s">
        <v>90</v>
      </c>
      <c r="B23" s="6" t="s">
        <v>91</v>
      </c>
      <c r="C23" s="7" t="s">
        <v>16</v>
      </c>
      <c r="D23" s="6" t="s">
        <v>92</v>
      </c>
      <c r="E23" s="6" t="s">
        <v>93</v>
      </c>
      <c r="F23" s="6" t="s">
        <v>94</v>
      </c>
      <c r="G23" s="6" t="s">
        <v>95</v>
      </c>
      <c r="H23" s="8"/>
      <c r="I23" s="6"/>
      <c r="J23" s="8"/>
      <c r="K23" s="6"/>
    </row>
    <row r="24" customFormat="false" ht="22.35" hidden="false" customHeight="false" outlineLevel="0" collapsed="false">
      <c r="A24" s="5" t="s">
        <v>96</v>
      </c>
      <c r="B24" s="6" t="s">
        <v>91</v>
      </c>
      <c r="C24" s="7" t="s">
        <v>16</v>
      </c>
      <c r="D24" s="6" t="s">
        <v>97</v>
      </c>
      <c r="E24" s="6" t="s">
        <v>98</v>
      </c>
      <c r="F24" s="6" t="s">
        <v>99</v>
      </c>
      <c r="G24" s="6" t="s">
        <v>100</v>
      </c>
      <c r="H24" s="8"/>
      <c r="I24" s="6"/>
      <c r="J24" s="8"/>
      <c r="K24" s="6"/>
    </row>
    <row r="25" customFormat="false" ht="22.35" hidden="false" customHeight="false" outlineLevel="0" collapsed="false">
      <c r="A25" s="5" t="s">
        <v>101</v>
      </c>
      <c r="B25" s="6" t="s">
        <v>91</v>
      </c>
      <c r="C25" s="9" t="s">
        <v>31</v>
      </c>
      <c r="D25" s="6" t="s">
        <v>102</v>
      </c>
      <c r="E25" s="6" t="s">
        <v>103</v>
      </c>
      <c r="F25" s="6" t="s">
        <v>104</v>
      </c>
      <c r="G25" s="6" t="s">
        <v>105</v>
      </c>
      <c r="H25" s="8"/>
      <c r="I25" s="6"/>
      <c r="J25" s="8"/>
      <c r="K25" s="6"/>
    </row>
    <row r="26" customFormat="false" ht="15" hidden="false" customHeight="false" outlineLevel="0" collapsed="false">
      <c r="A26" s="4" t="s">
        <v>106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22.35" hidden="false" customHeight="false" outlineLevel="0" collapsed="false">
      <c r="A27" s="5" t="s">
        <v>107</v>
      </c>
      <c r="B27" s="6" t="s">
        <v>108</v>
      </c>
      <c r="C27" s="7" t="s">
        <v>16</v>
      </c>
      <c r="D27" s="6" t="s">
        <v>109</v>
      </c>
      <c r="E27" s="6" t="s">
        <v>110</v>
      </c>
      <c r="F27" s="6" t="s">
        <v>111</v>
      </c>
      <c r="G27" s="6" t="s">
        <v>112</v>
      </c>
      <c r="H27" s="8"/>
      <c r="I27" s="6"/>
      <c r="J27" s="8"/>
      <c r="K27" s="6"/>
    </row>
    <row r="28" customFormat="false" ht="32.8" hidden="false" customHeight="false" outlineLevel="0" collapsed="false">
      <c r="A28" s="5" t="s">
        <v>113</v>
      </c>
      <c r="B28" s="6" t="s">
        <v>108</v>
      </c>
      <c r="C28" s="7" t="s">
        <v>16</v>
      </c>
      <c r="D28" s="6" t="s">
        <v>114</v>
      </c>
      <c r="E28" s="6" t="s">
        <v>115</v>
      </c>
      <c r="F28" s="6" t="s">
        <v>116</v>
      </c>
      <c r="G28" s="6" t="s">
        <v>117</v>
      </c>
      <c r="H28" s="8"/>
      <c r="I28" s="6"/>
      <c r="J28" s="8"/>
      <c r="K28" s="6"/>
    </row>
    <row r="29" customFormat="false" ht="22.35" hidden="false" customHeight="false" outlineLevel="0" collapsed="false">
      <c r="A29" s="5" t="s">
        <v>118</v>
      </c>
      <c r="B29" s="6" t="s">
        <v>108</v>
      </c>
      <c r="C29" s="7" t="s">
        <v>16</v>
      </c>
      <c r="D29" s="6" t="s">
        <v>119</v>
      </c>
      <c r="E29" s="6" t="s">
        <v>120</v>
      </c>
      <c r="F29" s="6" t="s">
        <v>121</v>
      </c>
      <c r="G29" s="6" t="s">
        <v>122</v>
      </c>
      <c r="H29" s="8"/>
      <c r="I29" s="6"/>
      <c r="J29" s="8"/>
      <c r="K29" s="6"/>
    </row>
    <row r="30" customFormat="false" ht="22.35" hidden="false" customHeight="false" outlineLevel="0" collapsed="false">
      <c r="A30" s="5" t="s">
        <v>123</v>
      </c>
      <c r="B30" s="6" t="s">
        <v>108</v>
      </c>
      <c r="C30" s="9" t="s">
        <v>31</v>
      </c>
      <c r="D30" s="6" t="s">
        <v>124</v>
      </c>
      <c r="E30" s="6" t="s">
        <v>125</v>
      </c>
      <c r="F30" s="6" t="s">
        <v>126</v>
      </c>
      <c r="G30" s="6" t="s">
        <v>127</v>
      </c>
      <c r="H30" s="8"/>
      <c r="I30" s="6"/>
      <c r="J30" s="8"/>
      <c r="K30" s="6"/>
    </row>
    <row r="31" customFormat="false" ht="22.35" hidden="false" customHeight="false" outlineLevel="0" collapsed="false">
      <c r="A31" s="5" t="s">
        <v>128</v>
      </c>
      <c r="B31" s="6" t="s">
        <v>108</v>
      </c>
      <c r="C31" s="9" t="s">
        <v>31</v>
      </c>
      <c r="D31" s="6" t="s">
        <v>129</v>
      </c>
      <c r="E31" s="6" t="s">
        <v>103</v>
      </c>
      <c r="F31" s="6" t="s">
        <v>130</v>
      </c>
      <c r="G31" s="6" t="s">
        <v>131</v>
      </c>
      <c r="H31" s="8"/>
      <c r="I31" s="6"/>
      <c r="J31" s="8"/>
      <c r="K31" s="6"/>
    </row>
    <row r="32" customFormat="false" ht="22.35" hidden="false" customHeight="false" outlineLevel="0" collapsed="false">
      <c r="A32" s="5" t="s">
        <v>132</v>
      </c>
      <c r="B32" s="6" t="s">
        <v>108</v>
      </c>
      <c r="C32" s="9" t="s">
        <v>31</v>
      </c>
      <c r="D32" s="6" t="s">
        <v>133</v>
      </c>
      <c r="E32" s="6" t="s">
        <v>134</v>
      </c>
      <c r="F32" s="6" t="s">
        <v>135</v>
      </c>
      <c r="G32" s="6" t="s">
        <v>136</v>
      </c>
      <c r="H32" s="8"/>
      <c r="I32" s="6"/>
      <c r="J32" s="8"/>
      <c r="K32" s="6"/>
    </row>
    <row r="33" customFormat="false" ht="22.35" hidden="false" customHeight="false" outlineLevel="0" collapsed="false">
      <c r="A33" s="5" t="s">
        <v>137</v>
      </c>
      <c r="B33" s="6" t="s">
        <v>108</v>
      </c>
      <c r="C33" s="5" t="s">
        <v>138</v>
      </c>
      <c r="D33" s="6" t="s">
        <v>139</v>
      </c>
      <c r="E33" s="6" t="s">
        <v>140</v>
      </c>
      <c r="F33" s="6" t="s">
        <v>141</v>
      </c>
      <c r="G33" s="6" t="s">
        <v>142</v>
      </c>
      <c r="H33" s="8"/>
      <c r="I33" s="6"/>
      <c r="J33" s="8"/>
      <c r="K33" s="6"/>
    </row>
    <row r="34" customFormat="false" ht="15" hidden="false" customHeight="false" outlineLevel="0" collapsed="false">
      <c r="A34" s="4" t="s">
        <v>143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32.8" hidden="false" customHeight="false" outlineLevel="0" collapsed="false">
      <c r="A35" s="5" t="s">
        <v>144</v>
      </c>
      <c r="B35" s="6" t="s">
        <v>145</v>
      </c>
      <c r="C35" s="7" t="s">
        <v>16</v>
      </c>
      <c r="D35" s="6" t="s">
        <v>146</v>
      </c>
      <c r="E35" s="6" t="s">
        <v>147</v>
      </c>
      <c r="F35" s="6" t="s">
        <v>148</v>
      </c>
      <c r="G35" s="6" t="s">
        <v>149</v>
      </c>
      <c r="H35" s="8"/>
      <c r="I35" s="6"/>
      <c r="J35" s="8"/>
      <c r="K35" s="6"/>
    </row>
    <row r="36" customFormat="false" ht="22.35" hidden="false" customHeight="false" outlineLevel="0" collapsed="false">
      <c r="A36" s="5" t="s">
        <v>150</v>
      </c>
      <c r="B36" s="6" t="s">
        <v>145</v>
      </c>
      <c r="C36" s="7" t="s">
        <v>16</v>
      </c>
      <c r="D36" s="6" t="s">
        <v>151</v>
      </c>
      <c r="E36" s="6" t="s">
        <v>152</v>
      </c>
      <c r="F36" s="6" t="s">
        <v>148</v>
      </c>
      <c r="G36" s="6" t="s">
        <v>153</v>
      </c>
      <c r="H36" s="8"/>
      <c r="I36" s="6"/>
      <c r="J36" s="8"/>
      <c r="K36" s="6"/>
    </row>
    <row r="37" customFormat="false" ht="22.35" hidden="false" customHeight="false" outlineLevel="0" collapsed="false">
      <c r="A37" s="5" t="s">
        <v>154</v>
      </c>
      <c r="B37" s="6" t="s">
        <v>145</v>
      </c>
      <c r="C37" s="9" t="s">
        <v>31</v>
      </c>
      <c r="D37" s="6" t="s">
        <v>155</v>
      </c>
      <c r="E37" s="6" t="s">
        <v>156</v>
      </c>
      <c r="F37" s="6" t="s">
        <v>157</v>
      </c>
      <c r="G37" s="6" t="s">
        <v>158</v>
      </c>
      <c r="H37" s="8"/>
      <c r="I37" s="6"/>
      <c r="J37" s="8"/>
      <c r="K37" s="6"/>
    </row>
    <row r="38" customFormat="false" ht="22.35" hidden="false" customHeight="false" outlineLevel="0" collapsed="false">
      <c r="A38" s="5" t="s">
        <v>159</v>
      </c>
      <c r="B38" s="6" t="s">
        <v>145</v>
      </c>
      <c r="C38" s="9" t="s">
        <v>31</v>
      </c>
      <c r="D38" s="6" t="s">
        <v>160</v>
      </c>
      <c r="E38" s="6" t="s">
        <v>161</v>
      </c>
      <c r="F38" s="6" t="s">
        <v>162</v>
      </c>
      <c r="G38" s="6" t="s">
        <v>163</v>
      </c>
      <c r="H38" s="8"/>
      <c r="I38" s="6"/>
      <c r="J38" s="8"/>
      <c r="K38" s="6"/>
    </row>
    <row r="39" customFormat="false" ht="15" hidden="false" customHeight="false" outlineLevel="0" collapsed="false">
      <c r="A39" s="4" t="s">
        <v>164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32.8" hidden="false" customHeight="false" outlineLevel="0" collapsed="false">
      <c r="A40" s="5" t="s">
        <v>165</v>
      </c>
      <c r="B40" s="6" t="s">
        <v>166</v>
      </c>
      <c r="C40" s="7" t="s">
        <v>16</v>
      </c>
      <c r="D40" s="6" t="s">
        <v>167</v>
      </c>
      <c r="E40" s="6" t="s">
        <v>168</v>
      </c>
      <c r="F40" s="6" t="s">
        <v>169</v>
      </c>
      <c r="G40" s="6" t="s">
        <v>170</v>
      </c>
      <c r="H40" s="8"/>
      <c r="I40" s="6"/>
      <c r="J40" s="8"/>
      <c r="K40" s="6"/>
    </row>
    <row r="41" customFormat="false" ht="22.35" hidden="false" customHeight="false" outlineLevel="0" collapsed="false">
      <c r="A41" s="5" t="s">
        <v>171</v>
      </c>
      <c r="B41" s="6" t="s">
        <v>166</v>
      </c>
      <c r="C41" s="7" t="s">
        <v>16</v>
      </c>
      <c r="D41" s="6" t="s">
        <v>172</v>
      </c>
      <c r="E41" s="6" t="s">
        <v>173</v>
      </c>
      <c r="F41" s="6" t="s">
        <v>174</v>
      </c>
      <c r="G41" s="6" t="s">
        <v>175</v>
      </c>
      <c r="H41" s="8"/>
      <c r="I41" s="6"/>
      <c r="J41" s="8"/>
      <c r="K41" s="6"/>
    </row>
    <row r="42" customFormat="false" ht="22.35" hidden="false" customHeight="false" outlineLevel="0" collapsed="false">
      <c r="A42" s="5" t="s">
        <v>176</v>
      </c>
      <c r="B42" s="6" t="s">
        <v>166</v>
      </c>
      <c r="C42" s="7" t="s">
        <v>16</v>
      </c>
      <c r="D42" s="6" t="s">
        <v>177</v>
      </c>
      <c r="E42" s="6" t="s">
        <v>178</v>
      </c>
      <c r="F42" s="6" t="s">
        <v>179</v>
      </c>
      <c r="G42" s="6" t="s">
        <v>180</v>
      </c>
      <c r="H42" s="8"/>
      <c r="I42" s="6"/>
      <c r="J42" s="8"/>
      <c r="K42" s="6"/>
    </row>
    <row r="43" customFormat="false" ht="22.35" hidden="false" customHeight="false" outlineLevel="0" collapsed="false">
      <c r="A43" s="5" t="s">
        <v>181</v>
      </c>
      <c r="B43" s="6" t="s">
        <v>166</v>
      </c>
      <c r="C43" s="9" t="s">
        <v>31</v>
      </c>
      <c r="D43" s="6" t="s">
        <v>182</v>
      </c>
      <c r="E43" s="6" t="s">
        <v>183</v>
      </c>
      <c r="F43" s="6" t="s">
        <v>184</v>
      </c>
      <c r="G43" s="6" t="s">
        <v>185</v>
      </c>
      <c r="H43" s="8"/>
      <c r="I43" s="6"/>
      <c r="J43" s="8"/>
      <c r="K43" s="6"/>
    </row>
    <row r="44" customFormat="false" ht="22.35" hidden="false" customHeight="false" outlineLevel="0" collapsed="false">
      <c r="A44" s="5" t="s">
        <v>186</v>
      </c>
      <c r="B44" s="6" t="s">
        <v>166</v>
      </c>
      <c r="C44" s="9" t="s">
        <v>31</v>
      </c>
      <c r="D44" s="6" t="s">
        <v>187</v>
      </c>
      <c r="E44" s="6" t="s">
        <v>188</v>
      </c>
      <c r="F44" s="6" t="s">
        <v>189</v>
      </c>
      <c r="G44" s="6" t="s">
        <v>190</v>
      </c>
      <c r="H44" s="8"/>
      <c r="I44" s="6"/>
      <c r="J44" s="8"/>
      <c r="K44" s="6"/>
    </row>
    <row r="45" customFormat="false" ht="22.35" hidden="false" customHeight="false" outlineLevel="0" collapsed="false">
      <c r="A45" s="5" t="s">
        <v>191</v>
      </c>
      <c r="B45" s="6" t="s">
        <v>166</v>
      </c>
      <c r="C45" s="9" t="s">
        <v>31</v>
      </c>
      <c r="D45" s="6" t="s">
        <v>192</v>
      </c>
      <c r="E45" s="6" t="s">
        <v>193</v>
      </c>
      <c r="F45" s="6" t="s">
        <v>194</v>
      </c>
      <c r="G45" s="6" t="s">
        <v>195</v>
      </c>
      <c r="H45" s="8"/>
      <c r="I45" s="6"/>
      <c r="J45" s="8"/>
      <c r="K45" s="6"/>
    </row>
    <row r="46" customFormat="false" ht="22.35" hidden="false" customHeight="false" outlineLevel="0" collapsed="false">
      <c r="A46" s="5" t="s">
        <v>196</v>
      </c>
      <c r="B46" s="6" t="s">
        <v>166</v>
      </c>
      <c r="C46" s="5" t="s">
        <v>138</v>
      </c>
      <c r="D46" s="6" t="s">
        <v>197</v>
      </c>
      <c r="E46" s="6" t="s">
        <v>23</v>
      </c>
      <c r="F46" s="6" t="s">
        <v>198</v>
      </c>
      <c r="G46" s="6" t="s">
        <v>199</v>
      </c>
      <c r="H46" s="8"/>
      <c r="I46" s="6"/>
      <c r="J46" s="8"/>
      <c r="K46" s="6"/>
    </row>
    <row r="47" customFormat="false" ht="15" hidden="false" customHeight="false" outlineLevel="0" collapsed="false">
      <c r="A47" s="4" t="s">
        <v>200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customFormat="false" ht="22.35" hidden="false" customHeight="false" outlineLevel="0" collapsed="false">
      <c r="A48" s="5" t="s">
        <v>201</v>
      </c>
      <c r="B48" s="6" t="s">
        <v>202</v>
      </c>
      <c r="C48" s="7" t="s">
        <v>16</v>
      </c>
      <c r="D48" s="6" t="s">
        <v>203</v>
      </c>
      <c r="E48" s="6" t="s">
        <v>204</v>
      </c>
      <c r="F48" s="6" t="s">
        <v>205</v>
      </c>
      <c r="G48" s="6" t="s">
        <v>206</v>
      </c>
      <c r="H48" s="8"/>
      <c r="I48" s="6"/>
      <c r="J48" s="8"/>
      <c r="K48" s="6"/>
    </row>
    <row r="49" customFormat="false" ht="22.35" hidden="false" customHeight="false" outlineLevel="0" collapsed="false">
      <c r="A49" s="5" t="s">
        <v>207</v>
      </c>
      <c r="B49" s="6" t="s">
        <v>202</v>
      </c>
      <c r="C49" s="7" t="s">
        <v>16</v>
      </c>
      <c r="D49" s="6" t="s">
        <v>208</v>
      </c>
      <c r="E49" s="6" t="s">
        <v>209</v>
      </c>
      <c r="F49" s="6" t="s">
        <v>210</v>
      </c>
      <c r="G49" s="6" t="s">
        <v>211</v>
      </c>
      <c r="H49" s="8"/>
      <c r="I49" s="6"/>
      <c r="J49" s="8"/>
      <c r="K49" s="6"/>
    </row>
    <row r="50" customFormat="false" ht="22.35" hidden="false" customHeight="false" outlineLevel="0" collapsed="false">
      <c r="A50" s="5" t="s">
        <v>212</v>
      </c>
      <c r="B50" s="6" t="s">
        <v>202</v>
      </c>
      <c r="C50" s="9" t="s">
        <v>31</v>
      </c>
      <c r="D50" s="6" t="s">
        <v>213</v>
      </c>
      <c r="E50" s="6" t="s">
        <v>214</v>
      </c>
      <c r="F50" s="6" t="s">
        <v>215</v>
      </c>
      <c r="G50" s="6" t="s">
        <v>216</v>
      </c>
      <c r="H50" s="8"/>
      <c r="I50" s="6"/>
      <c r="J50" s="8"/>
      <c r="K50" s="6"/>
    </row>
    <row r="51" customFormat="false" ht="22.35" hidden="false" customHeight="false" outlineLevel="0" collapsed="false">
      <c r="A51" s="5" t="s">
        <v>217</v>
      </c>
      <c r="B51" s="6" t="s">
        <v>202</v>
      </c>
      <c r="C51" s="9" t="s">
        <v>31</v>
      </c>
      <c r="D51" s="6" t="s">
        <v>218</v>
      </c>
      <c r="E51" s="6" t="s">
        <v>23</v>
      </c>
      <c r="F51" s="6" t="s">
        <v>219</v>
      </c>
      <c r="G51" s="6" t="s">
        <v>220</v>
      </c>
      <c r="H51" s="8"/>
      <c r="I51" s="6"/>
      <c r="J51" s="8"/>
      <c r="K51" s="6"/>
    </row>
    <row r="53" customFormat="false" ht="15" hidden="false" customHeight="false" outlineLevel="0" collapsed="false">
      <c r="A53" s="10" t="s">
        <v>221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</row>
  </sheetData>
  <autoFilter ref="A4:K51"/>
  <mergeCells count="11">
    <mergeCell ref="A1:K1"/>
    <mergeCell ref="A2:K2"/>
    <mergeCell ref="A5:K5"/>
    <mergeCell ref="A10:K10"/>
    <mergeCell ref="A16:K16"/>
    <mergeCell ref="A22:K22"/>
    <mergeCell ref="A26:K26"/>
    <mergeCell ref="A34:K34"/>
    <mergeCell ref="A39:K39"/>
    <mergeCell ref="A47:K47"/>
    <mergeCell ref="A53:K53"/>
  </mergeCells>
  <dataValidations count="1">
    <dataValidation allowBlank="true" errorStyle="stop" operator="between" showDropDown="false" showErrorMessage="false" showInputMessage="false" sqref="H5:H51" type="list">
      <formula1>"Pass,Fail,Blocked,Not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1" t="s">
        <v>222</v>
      </c>
      <c r="B1" s="11"/>
      <c r="C1" s="11"/>
      <c r="D1" s="11"/>
      <c r="E1" s="11"/>
    </row>
    <row r="3" customFormat="false" ht="15" hidden="false" customHeight="false" outlineLevel="0" collapsed="false">
      <c r="A3" s="12" t="s">
        <v>223</v>
      </c>
      <c r="B3" s="12" t="s">
        <v>224</v>
      </c>
    </row>
    <row r="4" customFormat="false" ht="15" hidden="false" customHeight="false" outlineLevel="0" collapsed="false">
      <c r="A4" s="13" t="s">
        <v>225</v>
      </c>
      <c r="B4" s="14" t="n">
        <f aca="false">COUNTIF('Test Cases'!A5:A51,"TC-*")</f>
        <v>39</v>
      </c>
    </row>
    <row r="5" customFormat="false" ht="15" hidden="false" customHeight="false" outlineLevel="0" collapsed="false">
      <c r="A5" s="15" t="s">
        <v>226</v>
      </c>
      <c r="B5" s="16" t="n">
        <f aca="false">COUNTIF('Test Cases'!C5:C51,"P1")</f>
        <v>21</v>
      </c>
    </row>
    <row r="6" customFormat="false" ht="15" hidden="false" customHeight="false" outlineLevel="0" collapsed="false">
      <c r="A6" s="13" t="s">
        <v>31</v>
      </c>
      <c r="B6" s="14" t="n">
        <f aca="false">COUNTIF('Test Cases'!C5:C51,"P2")</f>
        <v>16</v>
      </c>
    </row>
    <row r="7" customFormat="false" ht="15" hidden="false" customHeight="false" outlineLevel="0" collapsed="false">
      <c r="A7" s="15" t="s">
        <v>138</v>
      </c>
      <c r="B7" s="16" t="n">
        <f aca="false">COUNTIF('Test Cases'!C5:C51,"P3")</f>
        <v>2</v>
      </c>
    </row>
    <row r="8" customFormat="false" ht="15" hidden="false" customHeight="false" outlineLevel="0" collapsed="false">
      <c r="A8" s="13" t="s">
        <v>227</v>
      </c>
      <c r="B8" s="14" t="n">
        <f aca="false">COUNTIF('Test Cases'!H5:H51,"Pass")</f>
        <v>0</v>
      </c>
    </row>
    <row r="9" customFormat="false" ht="15" hidden="false" customHeight="false" outlineLevel="0" collapsed="false">
      <c r="A9" s="15" t="s">
        <v>228</v>
      </c>
      <c r="B9" s="16" t="n">
        <f aca="false">COUNTIF('Test Cases'!H5:H51,"Fail")</f>
        <v>0</v>
      </c>
    </row>
    <row r="10" customFormat="false" ht="15" hidden="false" customHeight="false" outlineLevel="0" collapsed="false">
      <c r="A10" s="13" t="s">
        <v>229</v>
      </c>
      <c r="B10" s="14" t="n">
        <f aca="false">COUNTIF('Test Cases'!H5:H51,"Blocked")</f>
        <v>0</v>
      </c>
    </row>
    <row r="11" customFormat="false" ht="15" hidden="false" customHeight="false" outlineLevel="0" collapsed="false">
      <c r="A11" s="15" t="s">
        <v>230</v>
      </c>
      <c r="B11" s="16" t="n">
        <f aca="false">COUNTIF('Test Cases'!A5:A51,"TC-*")-COUNTIF('Test Cases'!H5:H51,"Pass")-COUNTIF('Test Cases'!H5:H51,"Fail")-COUNTIF('Test Cases'!H5:H51,"Blocked")</f>
        <v>39</v>
      </c>
    </row>
    <row r="13" customFormat="false" ht="15" hidden="false" customHeight="false" outlineLevel="0" collapsed="false">
      <c r="A13" s="17" t="s">
        <v>231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2026-08-12T19:49:09Z</dcterms:created>
  <dc:creator>openpyxl</dc:creator>
  <dc:description/>
  <dc:language>en-US</dc:language>
  <cp:lastModifiedBy/>
  <dcterms:modified xsi:type="dcterms:W3CDTF">2026-08-12T19:49:09Z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