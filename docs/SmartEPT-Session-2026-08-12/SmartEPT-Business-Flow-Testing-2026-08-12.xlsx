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F Execution" sheetId="1" state="visible" r:id="rId3"/>
    <sheet name="Summary" sheetId="2" state="visible" r:id="rId4"/>
  </sheets>
  <definedNames>
    <definedName function="false" hidden="true" localSheetId="0" name="_xlnm._FilterDatabase" vbProcedure="false">'BF Execution'!$A$4:$H$72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<sst xmlns="http://schemas.openxmlformats.org/spreadsheetml/2006/main" count="371" uniqueCount="191">
  <si>
    <t xml:space="preserve">SmartEPT — Business Flow Testing Tracker (BF-01…BF-14)</t>
  </si>
  <si>
    <t xml:space="preserve">Fill yellow columns only: Status = PASS / FAIL / BLOCKED · Tested By = your name · Remarks = evidence link / defect. Any FAIL in BF-01…BF-07 → report to Ejaz sir immediately.</t>
  </si>
  <si>
    <t xml:space="preserve">Scenario</t>
  </si>
  <si>
    <t xml:space="preserve">Step</t>
  </si>
  <si>
    <t xml:space="preserve">Actor</t>
  </si>
  <si>
    <t xml:space="preserve">Action</t>
  </si>
  <si>
    <t xml:space="preserve">Expected</t>
  </si>
  <si>
    <t xml:space="preserve">Status</t>
  </si>
  <si>
    <t xml:space="preserve">Tested By</t>
  </si>
  <si>
    <t xml:space="preserve">Remarks</t>
  </si>
  <si>
    <t xml:space="preserve">BF-01 — Visitor → Lead (marketing funnel)</t>
  </si>
  <si>
    <t xml:space="preserve">1</t>
  </si>
  <si>
    <t xml:space="preserve">Visitor</t>
  </si>
  <si>
    <t xml:space="preserve">Open smartept.com fresh (incognito)</t>
  </si>
  <si>
    <t xml:space="preserve">Landing loads; hero price = first-band price; no ™/® anywhere</t>
  </si>
  <si>
    <t xml:space="preserve">2</t>
  </si>
  <si>
    <t xml:space="preserve">Play with pricing slider, On-premises tab: 41 / 61 / 201 users</t>
  </si>
  <si>
    <t xml:space="preserve">₹33,250 / ₹44,400 / "Custom quotation" — matches /buy exactly</t>
  </si>
  <si>
    <t xml:space="preserve">3</t>
  </si>
  <si>
    <t xml:space="preserve">Fill the WhatsApp lead form (name, company, phone, devices, plan) and send</t>
  </si>
  <si>
    <t xml:space="preserve">WhatsApp chat opens pre-filled</t>
  </si>
  <si>
    <t xml:space="preserve">4</t>
  </si>
  <si>
    <t xml:space="preserve">Sales</t>
  </si>
  <si>
    <t xml:space="preserve">Check Central → Leads and the sales inbox</t>
  </si>
  <si>
    <t xml:space="preserve">Lead recorded with devices + message; instant email to sales received</t>
  </si>
  <si>
    <t xml:space="preserve">5</t>
  </si>
  <si>
    <t xml:space="preserve">Update lead status/notes</t>
  </si>
  <si>
    <t xml:space="preserve">Pipeline reflects the change</t>
  </si>
  <si>
    <t xml:space="preserve">BF-02 — Visitor → Free Trial (OTP-gated)</t>
  </si>
  <si>
    <t xml:space="preserve">Prospect</t>
  </si>
  <si>
    <t xml:space="preserve">Landing → Start free trial; fill form with NEW email, own password</t>
  </si>
  <si>
    <t xml:space="preserve">Step 2 appears: "We emailed a 6-digit code…"</t>
  </si>
  <si>
    <t xml:space="preserve">Tester</t>
  </si>
  <si>
    <t xml:space="preserve">Check Central admin BEFORE verifying</t>
  </si>
  <si>
    <t xml:space="preserve">**NO tenant / portal user exists yet**</t>
  </si>
  <si>
    <t xml:space="preserve">Enter a WRONG code</t>
  </si>
  <si>
    <t xml:space="preserve">Clear error; still nothing created</t>
  </si>
  <si>
    <t xml:space="preserve">Enter the emailed code</t>
  </si>
  <si>
    <t xml:space="preserve">Trial activates; auto-login to client portal</t>
  </si>
  <si>
    <t xml:space="preserve">Verify in Central</t>
  </si>
  <si>
    <t xml:space="preserve">Tenant status trial, deployment cloud, terms timestamped; owner user email-verified</t>
  </si>
  <si>
    <t xml:space="preserve">6</t>
  </si>
  <si>
    <t xml:space="preserve">Check the lead/trial views</t>
  </si>
  <si>
    <t xml:space="preserve">Trial visible to sales from day one</t>
  </si>
  <si>
    <t xml:space="preserve">7</t>
  </si>
  <si>
    <t xml:space="preserve">(Time-shift or wait) trial reminders</t>
  </si>
  <si>
    <t xml:space="preserve">Emails at 3 / 1 / 0 days before expiry, deduplicated</t>
  </si>
  <si>
    <t xml:space="preserve">BF-03 — Trial → Paid Cloud (conversion + provisioning + agent)</t>
  </si>
  <si>
    <t xml:space="preserve">Owner</t>
  </si>
  <si>
    <t xml:space="preserve">From the BF-02 portal: Buy — Cloud, 25 users, Annual</t>
  </si>
  <si>
    <t xml:space="preserve">Server quote: 25 × band rate × 12; GST per state</t>
  </si>
  <si>
    <t xml:space="preserve">Pay via Razorpay (test/₹1-class)</t>
  </si>
  <si>
    <t xml:space="preserve">Payment captured; portal shows licence ACTIVE</t>
  </si>
  <si>
    <t xml:space="preserve">Verify the golden chain in Central</t>
  </si>
  <si>
    <t xml:space="preserve">Ledger row; licence key SEPT-…; tenant active; FY-consecutive GST invoice + receipt emailed</t>
  </si>
  <si>
    <t xml:space="preserve">System</t>
  </si>
  <si>
    <t xml:space="preserve">Cloud provisioning</t>
  </si>
  <si>
    <t xml:space="preserve">Console created at admin.smartept.com/(slug); portal shows hosted-console card</t>
  </si>
  <si>
    <t xml:space="preserve">Click SSO</t>
  </si>
  <si>
    <t xml:space="preserve">Signed into the console with NO password typed</t>
  </si>
  <si>
    <t xml:space="preserve">Admin</t>
  </si>
  <si>
    <t xml:space="preserve">Set up org structure + a policy; install agent on one PC</t>
  </si>
  <si>
    <t xml:space="preserve">Employee signs in → device registers → **consent screen** → tracking starts per policy</t>
  </si>
  <si>
    <t xml:space="preserve">Check seats + storage</t>
  </si>
  <si>
    <t xml:space="preserve">Seat cap = licence limit enforced; storage meter shows pooled 500 MB/user</t>
  </si>
  <si>
    <t xml:space="preserve">BF-04 — Visitor → Direct Perpetual Buy → On-Prem Install → .lic ACTIVE</t>
  </si>
  <si>
    <t xml:space="preserve">Buyer</t>
  </si>
  <si>
    <t xml:space="preserve">/buy → Own·Perpetual, 61 users, INR, Telangana + GSTIN</t>
  </si>
  <si>
    <t xml:space="preserve">Price ₹44,400 (progressive); GST = CGST+SGST split</t>
  </si>
  <si>
    <t xml:space="preserve">Add Remote Assisted Setup; submit + pay</t>
  </si>
  <si>
    <t xml:space="preserve">Setup ₹8,100 on its own line; payment captured</t>
  </si>
  <si>
    <t xml:space="preserve">Verify</t>
  </si>
  <si>
    <t xml:space="preserve">Perpetual licence (no expiry) issued; invoice FY series; tenant active; buyer auto-signed-in</t>
  </si>
  <si>
    <t xml:space="preserve">Client</t>
  </si>
  <si>
    <t xml:space="preserve">Portal → Downloads → installer</t>
  </si>
  <si>
    <t xml:space="preserve">Download works and is logged</t>
  </si>
  <si>
    <t xml:space="preserve">Install console on a test server</t>
  </si>
  <si>
    <t xml:space="preserve">**7-day evaluation auto-starts**, full features</t>
  </si>
  <si>
    <t xml:space="preserve">Licence screen → copy machine fingerprint → send to Ametecs</t>
  </si>
  <si>
    <t xml:space="preserve">Fingerprint copies in one click</t>
  </si>
  <si>
    <t xml:space="preserve">Ametecs</t>
  </si>
  <si>
    <t xml:space="preserve">Central licence card → issue licence file for that fingerprint</t>
  </si>
  <si>
    <t xml:space="preserve">`.lic` generated (needs signing key present)</t>
  </si>
  <si>
    <t xml:space="preserve">8</t>
  </si>
  <si>
    <t xml:space="preserve">Import `.lic`</t>
  </si>
  <si>
    <t xml:space="preserve">Status **ACTIVE — perpetual, offline**; unplug internet and verify it stays active</t>
  </si>
  <si>
    <t xml:space="preserve">9</t>
  </si>
  <si>
    <t xml:space="preserve">Try the same `.lic` on a DIFFERENT machine</t>
  </si>
  <si>
    <t xml:space="preserve">Rejected: server mismatch (and Central alert on phone-home installs)</t>
  </si>
  <si>
    <t xml:space="preserve">BF-05 — International USD Buy (export invoice)</t>
  </si>
  <si>
    <t xml:space="preserve">/buy → USD currency, Cloud 30 users annual</t>
  </si>
  <si>
    <t xml:space="preserve">$ prices at the admin FX rate; "GST — export (0%)"</t>
  </si>
  <si>
    <t xml:space="preserve">Pay by card (Stripe path / export-invoice flow)</t>
  </si>
  <si>
    <t xml:space="preserve">Payment recorded on the ledger</t>
  </si>
  <si>
    <t xml:space="preserve">Check invoice</t>
  </si>
  <si>
    <t xml:space="preserve">0% GST export invoice, FY-consecutive number, USD amounts</t>
  </si>
  <si>
    <t xml:space="preserve">BF-06 — Quotation Road (portal quote → management pays)</t>
  </si>
  <si>
    <t xml:space="preserve">Manager</t>
  </si>
  <si>
    <t xml:space="preserve">Portal → configure Perpetual 100 users → "Prefer a formal quotation"</t>
  </si>
  <si>
    <t xml:space="preserve">Quote EPT-Q-… created; requested_by = manager; printable branded quote</t>
  </si>
  <si>
    <t xml:space="preserve">Copy the pay link; apply the live coupon on the quote</t>
  </si>
  <si>
    <t xml:space="preserve">Coupon locked into the quote lines</t>
  </si>
  <si>
    <t xml:space="preserve">Disable the coupon in admin, then open the pay link</t>
  </si>
  <si>
    <t xml:space="preserve">Quote still honours the locked-in discount</t>
  </si>
  <si>
    <t xml:space="preserve">Management</t>
  </si>
  <si>
    <t xml:space="preserve">Pay the link</t>
  </si>
  <si>
    <t xml:space="preserve">Golden chain: licence + invoice + activation</t>
  </si>
  <si>
    <t xml:space="preserve">(Separate run) leave a quote unpaid</t>
  </si>
  <si>
    <t xml:space="preserve">Quote-chaser email goes out; quote appears in MD digest</t>
  </si>
  <si>
    <t xml:space="preserve">BF-07 — Sales-Assisted Credit Client</t>
  </si>
  <si>
    <t xml:space="preserve">Admin → Quote for NEW client (prospect one-screen), Cloud 25 annual</t>
  </si>
  <si>
    <t xml:space="preserve">Prospect tenant (pending) + quote created together</t>
  </si>
  <si>
    <t xml:space="preserve">Approve → Record Payment **Partial** (e.g. ₹5,000) with payable-by date</t>
  </si>
  <si>
    <t xml:space="preserve">Provisioning fires on first money: tenant ACTIVE, licence issued, invoice cut</t>
  </si>
  <si>
    <t xml:space="preserve">Credit Clients screen</t>
  </si>
  <si>
    <t xml:space="preserve">Row with total/received/balance/payable-by</t>
  </si>
  <si>
    <t xml:space="preserve">Let the date pass</t>
  </si>
  <si>
    <t xml:space="preserve">Row turns RED — but the client is NOT locked out</t>
  </si>
  <si>
    <t xml:space="preserve">Record balance in two instalments</t>
  </si>
  <si>
    <t xml:space="preserve">Each instalment on the ledger; balance reaches 0; row clears</t>
  </si>
  <si>
    <t xml:space="preserve">BF-08 — Coupons &amp; Discounts on the Money Path</t>
  </si>
  <si>
    <t xml:space="preserve">/buy with the live coupon (≥10 devices)</t>
  </si>
  <si>
    <t xml:space="preserve">Box visible; discount line BEFORE GST; totals correct</t>
  </si>
  <si>
    <t xml:space="preserve">Same code below its min devices</t>
  </si>
  <si>
    <t xml:space="preserve">"not valid" with reason</t>
  </si>
  <si>
    <t xml:space="preserve">Disable all coupons → reload /buy</t>
  </si>
  <si>
    <t xml:space="preserve">Coupon box GONE entirely</t>
  </si>
  <si>
    <t xml:space="preserve">Exclusive coupon for a specific email</t>
  </si>
  <si>
    <t xml:space="preserve">Auto-applies silently when that email is typed</t>
  </si>
  <si>
    <t xml:space="preserve">Ecosystem client (SmartDCM/PRS flag)</t>
  </si>
  <si>
    <t xml:space="preserve">Flat 10% off every cycle/plan</t>
  </si>
  <si>
    <t xml:space="preserve">BF-09 — Renewal, Dunning &amp; Suspension Ladder</t>
  </si>
  <si>
    <t xml:space="preserve">Set a test cloud licence to expire in 30 days; run `smartept:dunning`</t>
  </si>
  <si>
    <t xml:space="preserve">30-day reminder email (deduplicated on re-run)</t>
  </si>
  <si>
    <t xml:space="preserve">Step expiry through 15/7/3/1/0</t>
  </si>
  <si>
    <t xml:space="preserve">Each reminder fires exactly once</t>
  </si>
  <si>
    <t xml:space="preserve">Pay the renewal link at any point</t>
  </si>
  <si>
    <t xml:space="preserve">Licence extends; ladder resets; ACTIVE</t>
  </si>
  <si>
    <t xml:space="preserve">(Separate tenant) let it expire</t>
  </si>
  <si>
    <t xml:space="preserve">Grace ladder mails; then suspension — console login hard-blocked with clear message</t>
  </si>
  <si>
    <t xml:space="preserve">Resume from Central</t>
  </si>
  <si>
    <t xml:space="preserve">Access restored instantly</t>
  </si>
  <si>
    <t xml:space="preserve">Let purge window pass; run dunning</t>
  </si>
  <si>
    <t xml:space="preserve">Tenant status = **purged** (no SQL 1265 error), licences revoked</t>
  </si>
  <si>
    <t xml:space="preserve">BF-10 — Growth: Upgrades</t>
  </si>
  <si>
    <t xml:space="preserve">Cloud client mid-period: upgrade 25 → 40 users</t>
  </si>
  <si>
    <t xml:space="preserve">Pro-rata quote for remaining days ONLY; on payment the seat cap rises immediately, expiry unchanged</t>
  </si>
  <si>
    <t xml:space="preserve">Perpetual client: capacity upgrade request</t>
  </si>
  <si>
    <t xml:space="preserve">Priced from the progressive engine at prevailing rates; new `.lic` re-issued after payment</t>
  </si>
  <si>
    <t xml:space="preserve">BF-11 — AMC Year-2 (On-Prem)</t>
  </si>
  <si>
    <t xml:space="preserve">Raise AMC for the BF-04 client (61 users)</t>
  </si>
  <si>
    <t xml:space="preserve">AMC = 18% of the PREVAILING progressive price for 61 users (18% × ₹44,400 = ₹7,992 at current bands)</t>
  </si>
  <si>
    <t xml:space="preserve">Pay</t>
  </si>
  <si>
    <t xml:space="preserve">AMC expiry advances one year; invoice cut</t>
  </si>
  <si>
    <t xml:space="preserve">BF-12 — Hardware Change (release / shift machine)</t>
  </si>
  <si>
    <t xml:space="preserve">Server dies; installs console on a new machine</t>
  </si>
  <si>
    <t xml:space="preserve">New fingerprint shown; old `.lic` rejected on the new box</t>
  </si>
  <si>
    <t xml:space="preserve">Central → licence → shift-machine with the new fingerprint</t>
  </si>
  <si>
    <t xml:space="preserve">New `.lic` issued; history keeps both bindings</t>
  </si>
  <si>
    <t xml:space="preserve">Import on the new server</t>
  </si>
  <si>
    <t xml:space="preserve">ACTIVE again; old machine can no longer validate</t>
  </si>
  <si>
    <t xml:space="preserve">BF-13 — Corrections: Refund &amp; Credit Note</t>
  </si>
  <si>
    <t xml:space="preserve">Refund part of a paid order</t>
  </si>
  <si>
    <t xml:space="preserve">Credit note generated (printable), ledger shows the negative movement; invoice untouched</t>
  </si>
  <si>
    <t xml:space="preserve">Try to delete that paid order</t>
  </si>
  <si>
    <t xml:space="preserve">Impossible — server refuses (money on ledger)</t>
  </si>
  <si>
    <t xml:space="preserve">Delete a ₹0 test quote instead</t>
  </si>
  <si>
    <t xml:space="preserve">Allowed (super only), audit-logged</t>
  </si>
  <si>
    <t xml:space="preserve">BF-14 — Identity &amp; Communications Backbone</t>
  </si>
  <si>
    <t xml:space="preserve">Portal user</t>
  </si>
  <si>
    <t xml:space="preserve">Forgot password on client portal</t>
  </si>
  <si>
    <t xml:space="preserve">Email OTP → reset → sign-in (Central SMTP)</t>
  </si>
  <si>
    <t xml:space="preserve">Console user</t>
  </si>
  <si>
    <t xml:space="preserve">Forgot password on product console</t>
  </si>
  <si>
    <t xml:space="preserve">OTP arrives **via the company's own SMTP** when configured (check From/headers), else the global relay</t>
  </si>
  <si>
    <t xml:space="preserve">Company admin</t>
  </si>
  <si>
    <t xml:space="preserve">Break the company SMTP password → Send test</t>
  </si>
  <si>
    <t xml:space="preserve">Real relay error surfaced; fix → test passes</t>
  </si>
  <si>
    <t xml:space="preserve">Clear company SMTP host</t>
  </si>
  <si>
    <t xml:space="preserve">Next reset email goes via the global relay (fallback proven)</t>
  </si>
  <si>
    <t xml:space="preserve">Employee</t>
  </si>
  <si>
    <t xml:space="preserve">EMPLOYEE-role forgot password</t>
  </si>
  <si>
    <t xml:space="preserve">Works identically; employee portal opens</t>
  </si>
  <si>
    <t xml:space="preserve">Every mail sent above</t>
  </si>
  <si>
    <t xml:space="preserve">Corresponding `mail_logs` row (sent/failed) exists</t>
  </si>
  <si>
    <t xml:space="preserve">Business Flow — Sign-off Summary</t>
  </si>
  <si>
    <t xml:space="preserve">Sign-off rule: BF-01…BF-07 fully PASS + no open P1 = business flow approved for launch.</t>
  </si>
  <si>
    <t xml:space="preserve">Steps</t>
  </si>
  <si>
    <t xml:space="preserve">Executed</t>
  </si>
  <si>
    <t xml:space="preserve">Passed</t>
  </si>
  <si>
    <t xml:space="preserve">Failed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</si>
</sst>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6373"/>
      <name val="Arial"/>
      <family val="0"/>
      <charset val="1"/>
    </font>
    <font>
      <i val="true"/>
      <sz val="9.5"/>
      <color rgb="FF565A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name val="Arial"/>
      <family val="0"/>
      <charset val="1"/>
    </font>
    <font>
      <b val="true"/>
      <sz val="14"/>
      <color rgb="FF0B637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7C8F"/>
        <bgColor rgb="FF0B6373"/>
      </patternFill>
    </fill>
    <fill>
      <patternFill patternType="solid">
        <fgColor rgb="FFFFF6CC"/>
        <bgColor rgb="FFF0F1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0F1F4"/>
      </left>
      <right style="thin">
        <color rgb="FFF0F1F4"/>
      </right>
      <top style="thin">
        <color rgb="FFF0F1F4"/>
      </top>
      <bottom style="thin">
        <color rgb="FFF0F1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E7C8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F"/>
      <rgbColor rgb="FFC0C0C0"/>
      <rgbColor rgb="FF808080"/>
      <rgbColor rgb="FF9999FF"/>
      <rgbColor rgb="FF993366"/>
      <rgbColor rgb="FFFFF6CC"/>
      <rgbColor rgb="FFF0F1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B6373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5A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2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5"/>
      <c r="G5" s="5"/>
      <c r="H5" s="5"/>
    </row>
    <row r="6" customFormat="false" ht="23.85" hidden="false" customHeight="false" outlineLevel="0" collapsed="false">
      <c r="A6" s="4" t="s">
        <v>10</v>
      </c>
      <c r="B6" s="4" t="s">
        <v>15</v>
      </c>
      <c r="C6" s="4" t="s">
        <v>12</v>
      </c>
      <c r="D6" s="4" t="s">
        <v>16</v>
      </c>
      <c r="E6" s="4" t="s">
        <v>17</v>
      </c>
      <c r="F6" s="5"/>
      <c r="G6" s="5"/>
      <c r="H6" s="5"/>
    </row>
    <row r="7" customFormat="false" ht="23.85" hidden="false" customHeight="false" outlineLevel="0" collapsed="false">
      <c r="A7" s="4" t="s">
        <v>10</v>
      </c>
      <c r="B7" s="4" t="s">
        <v>18</v>
      </c>
      <c r="C7" s="4" t="s">
        <v>12</v>
      </c>
      <c r="D7" s="4" t="s">
        <v>19</v>
      </c>
      <c r="E7" s="4" t="s">
        <v>20</v>
      </c>
      <c r="F7" s="5"/>
      <c r="G7" s="5"/>
      <c r="H7" s="5"/>
    </row>
    <row r="8" customFormat="false" ht="23.85" hidden="false" customHeight="false" outlineLevel="0" collapsed="false">
      <c r="A8" s="4" t="s">
        <v>10</v>
      </c>
      <c r="B8" s="4" t="s">
        <v>21</v>
      </c>
      <c r="C8" s="4" t="s">
        <v>22</v>
      </c>
      <c r="D8" s="4" t="s">
        <v>23</v>
      </c>
      <c r="E8" s="4" t="s">
        <v>24</v>
      </c>
      <c r="F8" s="5"/>
      <c r="G8" s="5"/>
      <c r="H8" s="5"/>
    </row>
    <row r="9" customFormat="false" ht="23.85" hidden="false" customHeight="false" outlineLevel="0" collapsed="false">
      <c r="A9" s="4" t="s">
        <v>10</v>
      </c>
      <c r="B9" s="4" t="s">
        <v>25</v>
      </c>
      <c r="C9" s="4" t="s">
        <v>22</v>
      </c>
      <c r="D9" s="4" t="s">
        <v>26</v>
      </c>
      <c r="E9" s="4" t="s">
        <v>27</v>
      </c>
      <c r="F9" s="5"/>
      <c r="G9" s="5"/>
      <c r="H9" s="5"/>
    </row>
    <row r="10" customFormat="false" ht="23.85" hidden="false" customHeight="false" outlineLevel="0" collapsed="false">
      <c r="A10" s="4" t="s">
        <v>28</v>
      </c>
      <c r="B10" s="4" t="s">
        <v>11</v>
      </c>
      <c r="C10" s="4" t="s">
        <v>29</v>
      </c>
      <c r="D10" s="4" t="s">
        <v>30</v>
      </c>
      <c r="E10" s="4" t="s">
        <v>31</v>
      </c>
      <c r="F10" s="5"/>
      <c r="G10" s="5"/>
      <c r="H10" s="5"/>
    </row>
    <row r="11" customFormat="false" ht="23.85" hidden="false" customHeight="false" outlineLevel="0" collapsed="false">
      <c r="A11" s="4" t="s">
        <v>28</v>
      </c>
      <c r="B11" s="4" t="s">
        <v>15</v>
      </c>
      <c r="C11" s="4" t="s">
        <v>32</v>
      </c>
      <c r="D11" s="4" t="s">
        <v>33</v>
      </c>
      <c r="E11" s="4" t="s">
        <v>34</v>
      </c>
      <c r="F11" s="5"/>
      <c r="G11" s="5"/>
      <c r="H11" s="5"/>
    </row>
    <row r="12" customFormat="false" ht="23.85" hidden="false" customHeight="false" outlineLevel="0" collapsed="false">
      <c r="A12" s="4" t="s">
        <v>28</v>
      </c>
      <c r="B12" s="4" t="s">
        <v>18</v>
      </c>
      <c r="C12" s="4" t="s">
        <v>29</v>
      </c>
      <c r="D12" s="4" t="s">
        <v>35</v>
      </c>
      <c r="E12" s="4" t="s">
        <v>36</v>
      </c>
      <c r="F12" s="5"/>
      <c r="G12" s="5"/>
      <c r="H12" s="5"/>
    </row>
    <row r="13" customFormat="false" ht="23.85" hidden="false" customHeight="false" outlineLevel="0" collapsed="false">
      <c r="A13" s="4" t="s">
        <v>28</v>
      </c>
      <c r="B13" s="4" t="s">
        <v>21</v>
      </c>
      <c r="C13" s="4" t="s">
        <v>29</v>
      </c>
      <c r="D13" s="4" t="s">
        <v>37</v>
      </c>
      <c r="E13" s="4" t="s">
        <v>38</v>
      </c>
      <c r="F13" s="5"/>
      <c r="G13" s="5"/>
      <c r="H13" s="5"/>
    </row>
    <row r="14" customFormat="false" ht="23.85" hidden="false" customHeight="false" outlineLevel="0" collapsed="false">
      <c r="A14" s="4" t="s">
        <v>28</v>
      </c>
      <c r="B14" s="4" t="s">
        <v>25</v>
      </c>
      <c r="C14" s="4" t="s">
        <v>32</v>
      </c>
      <c r="D14" s="4" t="s">
        <v>39</v>
      </c>
      <c r="E14" s="4" t="s">
        <v>40</v>
      </c>
      <c r="F14" s="5"/>
      <c r="G14" s="5"/>
      <c r="H14" s="5"/>
    </row>
    <row r="15" customFormat="false" ht="23.85" hidden="false" customHeight="false" outlineLevel="0" collapsed="false">
      <c r="A15" s="4" t="s">
        <v>28</v>
      </c>
      <c r="B15" s="4" t="s">
        <v>41</v>
      </c>
      <c r="C15" s="4" t="s">
        <v>32</v>
      </c>
      <c r="D15" s="4" t="s">
        <v>42</v>
      </c>
      <c r="E15" s="4" t="s">
        <v>43</v>
      </c>
      <c r="F15" s="5"/>
      <c r="G15" s="5"/>
      <c r="H15" s="5"/>
    </row>
    <row r="16" customFormat="false" ht="23.85" hidden="false" customHeight="false" outlineLevel="0" collapsed="false">
      <c r="A16" s="4" t="s">
        <v>28</v>
      </c>
      <c r="B16" s="4" t="s">
        <v>44</v>
      </c>
      <c r="C16" s="4" t="s">
        <v>32</v>
      </c>
      <c r="D16" s="4" t="s">
        <v>45</v>
      </c>
      <c r="E16" s="4" t="s">
        <v>46</v>
      </c>
      <c r="F16" s="5"/>
      <c r="G16" s="5"/>
      <c r="H16" s="5"/>
    </row>
    <row r="17" customFormat="false" ht="23.85" hidden="false" customHeight="false" outlineLevel="0" collapsed="false">
      <c r="A17" s="4" t="s">
        <v>47</v>
      </c>
      <c r="B17" s="4" t="s">
        <v>11</v>
      </c>
      <c r="C17" s="4" t="s">
        <v>48</v>
      </c>
      <c r="D17" s="4" t="s">
        <v>49</v>
      </c>
      <c r="E17" s="4" t="s">
        <v>50</v>
      </c>
      <c r="F17" s="5"/>
      <c r="G17" s="5"/>
      <c r="H17" s="5"/>
    </row>
    <row r="18" customFormat="false" ht="23.85" hidden="false" customHeight="false" outlineLevel="0" collapsed="false">
      <c r="A18" s="4" t="s">
        <v>47</v>
      </c>
      <c r="B18" s="4" t="s">
        <v>15</v>
      </c>
      <c r="C18" s="4" t="s">
        <v>48</v>
      </c>
      <c r="D18" s="4" t="s">
        <v>51</v>
      </c>
      <c r="E18" s="4" t="s">
        <v>52</v>
      </c>
      <c r="F18" s="5"/>
      <c r="G18" s="5"/>
      <c r="H18" s="5"/>
    </row>
    <row r="19" customFormat="false" ht="23.85" hidden="false" customHeight="false" outlineLevel="0" collapsed="false">
      <c r="A19" s="4" t="s">
        <v>47</v>
      </c>
      <c r="B19" s="4" t="s">
        <v>18</v>
      </c>
      <c r="C19" s="4" t="s">
        <v>32</v>
      </c>
      <c r="D19" s="4" t="s">
        <v>53</v>
      </c>
      <c r="E19" s="4" t="s">
        <v>54</v>
      </c>
      <c r="F19" s="5"/>
      <c r="G19" s="5"/>
      <c r="H19" s="5"/>
    </row>
    <row r="20" customFormat="false" ht="23.85" hidden="false" customHeight="false" outlineLevel="0" collapsed="false">
      <c r="A20" s="4" t="s">
        <v>47</v>
      </c>
      <c r="B20" s="4" t="s">
        <v>21</v>
      </c>
      <c r="C20" s="4" t="s">
        <v>55</v>
      </c>
      <c r="D20" s="4" t="s">
        <v>56</v>
      </c>
      <c r="E20" s="4" t="s">
        <v>57</v>
      </c>
      <c r="F20" s="5"/>
      <c r="G20" s="5"/>
      <c r="H20" s="5"/>
    </row>
    <row r="21" customFormat="false" ht="23.85" hidden="false" customHeight="false" outlineLevel="0" collapsed="false">
      <c r="A21" s="4" t="s">
        <v>47</v>
      </c>
      <c r="B21" s="4" t="s">
        <v>25</v>
      </c>
      <c r="C21" s="4" t="s">
        <v>48</v>
      </c>
      <c r="D21" s="4" t="s">
        <v>58</v>
      </c>
      <c r="E21" s="4" t="s">
        <v>59</v>
      </c>
      <c r="F21" s="5"/>
      <c r="G21" s="5"/>
      <c r="H21" s="5"/>
    </row>
    <row r="22" customFormat="false" ht="23.85" hidden="false" customHeight="false" outlineLevel="0" collapsed="false">
      <c r="A22" s="4" t="s">
        <v>47</v>
      </c>
      <c r="B22" s="4" t="s">
        <v>41</v>
      </c>
      <c r="C22" s="4" t="s">
        <v>60</v>
      </c>
      <c r="D22" s="4" t="s">
        <v>61</v>
      </c>
      <c r="E22" s="4" t="s">
        <v>62</v>
      </c>
      <c r="F22" s="5"/>
      <c r="G22" s="5"/>
      <c r="H22" s="5"/>
    </row>
    <row r="23" customFormat="false" ht="23.85" hidden="false" customHeight="false" outlineLevel="0" collapsed="false">
      <c r="A23" s="4" t="s">
        <v>47</v>
      </c>
      <c r="B23" s="4" t="s">
        <v>44</v>
      </c>
      <c r="C23" s="4" t="s">
        <v>32</v>
      </c>
      <c r="D23" s="4" t="s">
        <v>63</v>
      </c>
      <c r="E23" s="4" t="s">
        <v>64</v>
      </c>
      <c r="F23" s="5"/>
      <c r="G23" s="5"/>
      <c r="H23" s="5"/>
    </row>
    <row r="24" customFormat="false" ht="23.85" hidden="false" customHeight="false" outlineLevel="0" collapsed="false">
      <c r="A24" s="4" t="s">
        <v>65</v>
      </c>
      <c r="B24" s="4" t="s">
        <v>11</v>
      </c>
      <c r="C24" s="4" t="s">
        <v>66</v>
      </c>
      <c r="D24" s="4" t="s">
        <v>67</v>
      </c>
      <c r="E24" s="4" t="s">
        <v>68</v>
      </c>
      <c r="F24" s="5"/>
      <c r="G24" s="5"/>
      <c r="H24" s="5"/>
    </row>
    <row r="25" customFormat="false" ht="23.85" hidden="false" customHeight="false" outlineLevel="0" collapsed="false">
      <c r="A25" s="4" t="s">
        <v>65</v>
      </c>
      <c r="B25" s="4" t="s">
        <v>15</v>
      </c>
      <c r="C25" s="4" t="s">
        <v>66</v>
      </c>
      <c r="D25" s="4" t="s">
        <v>69</v>
      </c>
      <c r="E25" s="4" t="s">
        <v>70</v>
      </c>
      <c r="F25" s="5"/>
      <c r="G25" s="5"/>
      <c r="H25" s="5"/>
    </row>
    <row r="26" customFormat="false" ht="23.85" hidden="false" customHeight="false" outlineLevel="0" collapsed="false">
      <c r="A26" s="4" t="s">
        <v>65</v>
      </c>
      <c r="B26" s="4" t="s">
        <v>18</v>
      </c>
      <c r="C26" s="4" t="s">
        <v>32</v>
      </c>
      <c r="D26" s="4" t="s">
        <v>71</v>
      </c>
      <c r="E26" s="4" t="s">
        <v>72</v>
      </c>
      <c r="F26" s="5"/>
      <c r="G26" s="5"/>
      <c r="H26" s="5"/>
    </row>
    <row r="27" customFormat="false" ht="23.85" hidden="false" customHeight="false" outlineLevel="0" collapsed="false">
      <c r="A27" s="4" t="s">
        <v>65</v>
      </c>
      <c r="B27" s="4" t="s">
        <v>21</v>
      </c>
      <c r="C27" s="4" t="s">
        <v>73</v>
      </c>
      <c r="D27" s="4" t="s">
        <v>74</v>
      </c>
      <c r="E27" s="4" t="s">
        <v>75</v>
      </c>
      <c r="F27" s="5"/>
      <c r="G27" s="5"/>
      <c r="H27" s="5"/>
    </row>
    <row r="28" customFormat="false" ht="23.85" hidden="false" customHeight="false" outlineLevel="0" collapsed="false">
      <c r="A28" s="4" t="s">
        <v>65</v>
      </c>
      <c r="B28" s="4" t="s">
        <v>25</v>
      </c>
      <c r="C28" s="4" t="s">
        <v>73</v>
      </c>
      <c r="D28" s="4" t="s">
        <v>76</v>
      </c>
      <c r="E28" s="4" t="s">
        <v>77</v>
      </c>
      <c r="F28" s="5"/>
      <c r="G28" s="5"/>
      <c r="H28" s="5"/>
    </row>
    <row r="29" customFormat="false" ht="23.85" hidden="false" customHeight="false" outlineLevel="0" collapsed="false">
      <c r="A29" s="4" t="s">
        <v>65</v>
      </c>
      <c r="B29" s="4" t="s">
        <v>41</v>
      </c>
      <c r="C29" s="4" t="s">
        <v>73</v>
      </c>
      <c r="D29" s="4" t="s">
        <v>78</v>
      </c>
      <c r="E29" s="4" t="s">
        <v>79</v>
      </c>
      <c r="F29" s="5"/>
      <c r="G29" s="5"/>
      <c r="H29" s="5"/>
    </row>
    <row r="30" customFormat="false" ht="23.85" hidden="false" customHeight="false" outlineLevel="0" collapsed="false">
      <c r="A30" s="4" t="s">
        <v>65</v>
      </c>
      <c r="B30" s="4" t="s">
        <v>44</v>
      </c>
      <c r="C30" s="4" t="s">
        <v>80</v>
      </c>
      <c r="D30" s="4" t="s">
        <v>81</v>
      </c>
      <c r="E30" s="4" t="s">
        <v>82</v>
      </c>
      <c r="F30" s="5"/>
      <c r="G30" s="5"/>
      <c r="H30" s="5"/>
    </row>
    <row r="31" customFormat="false" ht="23.85" hidden="false" customHeight="false" outlineLevel="0" collapsed="false">
      <c r="A31" s="4" t="s">
        <v>65</v>
      </c>
      <c r="B31" s="4" t="s">
        <v>83</v>
      </c>
      <c r="C31" s="4" t="s">
        <v>73</v>
      </c>
      <c r="D31" s="4" t="s">
        <v>84</v>
      </c>
      <c r="E31" s="4" t="s">
        <v>85</v>
      </c>
      <c r="F31" s="5"/>
      <c r="G31" s="5"/>
      <c r="H31" s="5"/>
    </row>
    <row r="32" customFormat="false" ht="23.85" hidden="false" customHeight="false" outlineLevel="0" collapsed="false">
      <c r="A32" s="4" t="s">
        <v>65</v>
      </c>
      <c r="B32" s="4" t="s">
        <v>86</v>
      </c>
      <c r="C32" s="4" t="s">
        <v>32</v>
      </c>
      <c r="D32" s="4" t="s">
        <v>87</v>
      </c>
      <c r="E32" s="4" t="s">
        <v>88</v>
      </c>
      <c r="F32" s="5"/>
      <c r="G32" s="5"/>
      <c r="H32" s="5"/>
    </row>
    <row r="33" customFormat="false" ht="23.85" hidden="false" customHeight="false" outlineLevel="0" collapsed="false">
      <c r="A33" s="4" t="s">
        <v>89</v>
      </c>
      <c r="B33" s="4" t="s">
        <v>11</v>
      </c>
      <c r="C33" s="4" t="s">
        <v>66</v>
      </c>
      <c r="D33" s="4" t="s">
        <v>90</v>
      </c>
      <c r="E33" s="4" t="s">
        <v>91</v>
      </c>
      <c r="F33" s="5"/>
      <c r="G33" s="5"/>
      <c r="H33" s="5"/>
    </row>
    <row r="34" customFormat="false" ht="23.85" hidden="false" customHeight="false" outlineLevel="0" collapsed="false">
      <c r="A34" s="4" t="s">
        <v>89</v>
      </c>
      <c r="B34" s="4" t="s">
        <v>15</v>
      </c>
      <c r="C34" s="4" t="s">
        <v>66</v>
      </c>
      <c r="D34" s="4" t="s">
        <v>92</v>
      </c>
      <c r="E34" s="4" t="s">
        <v>93</v>
      </c>
      <c r="F34" s="5"/>
      <c r="G34" s="5"/>
      <c r="H34" s="5"/>
    </row>
    <row r="35" customFormat="false" ht="23.85" hidden="false" customHeight="false" outlineLevel="0" collapsed="false">
      <c r="A35" s="4" t="s">
        <v>89</v>
      </c>
      <c r="B35" s="4" t="s">
        <v>18</v>
      </c>
      <c r="C35" s="4" t="s">
        <v>32</v>
      </c>
      <c r="D35" s="4" t="s">
        <v>94</v>
      </c>
      <c r="E35" s="4" t="s">
        <v>95</v>
      </c>
      <c r="F35" s="5"/>
      <c r="G35" s="5"/>
      <c r="H35" s="5"/>
    </row>
    <row r="36" customFormat="false" ht="23.85" hidden="false" customHeight="false" outlineLevel="0" collapsed="false">
      <c r="A36" s="4" t="s">
        <v>96</v>
      </c>
      <c r="B36" s="4" t="s">
        <v>11</v>
      </c>
      <c r="C36" s="4" t="s">
        <v>97</v>
      </c>
      <c r="D36" s="4" t="s">
        <v>98</v>
      </c>
      <c r="E36" s="4" t="s">
        <v>99</v>
      </c>
      <c r="F36" s="5"/>
      <c r="G36" s="5"/>
      <c r="H36" s="5"/>
    </row>
    <row r="37" customFormat="false" ht="23.85" hidden="false" customHeight="false" outlineLevel="0" collapsed="false">
      <c r="A37" s="4" t="s">
        <v>96</v>
      </c>
      <c r="B37" s="4" t="s">
        <v>15</v>
      </c>
      <c r="C37" s="4" t="s">
        <v>97</v>
      </c>
      <c r="D37" s="4" t="s">
        <v>100</v>
      </c>
      <c r="E37" s="4" t="s">
        <v>101</v>
      </c>
      <c r="F37" s="5"/>
      <c r="G37" s="5"/>
      <c r="H37" s="5"/>
    </row>
    <row r="38" customFormat="false" ht="23.85" hidden="false" customHeight="false" outlineLevel="0" collapsed="false">
      <c r="A38" s="4" t="s">
        <v>96</v>
      </c>
      <c r="B38" s="4" t="s">
        <v>18</v>
      </c>
      <c r="C38" s="4" t="s">
        <v>32</v>
      </c>
      <c r="D38" s="4" t="s">
        <v>102</v>
      </c>
      <c r="E38" s="4" t="s">
        <v>103</v>
      </c>
      <c r="F38" s="5"/>
      <c r="G38" s="5"/>
      <c r="H38" s="5"/>
    </row>
    <row r="39" customFormat="false" ht="23.85" hidden="false" customHeight="false" outlineLevel="0" collapsed="false">
      <c r="A39" s="4" t="s">
        <v>96</v>
      </c>
      <c r="B39" s="4" t="s">
        <v>21</v>
      </c>
      <c r="C39" s="4" t="s">
        <v>104</v>
      </c>
      <c r="D39" s="4" t="s">
        <v>105</v>
      </c>
      <c r="E39" s="4" t="s">
        <v>106</v>
      </c>
      <c r="F39" s="5"/>
      <c r="G39" s="5"/>
      <c r="H39" s="5"/>
    </row>
    <row r="40" customFormat="false" ht="23.85" hidden="false" customHeight="false" outlineLevel="0" collapsed="false">
      <c r="A40" s="4" t="s">
        <v>96</v>
      </c>
      <c r="B40" s="4" t="s">
        <v>25</v>
      </c>
      <c r="C40" s="4" t="s">
        <v>32</v>
      </c>
      <c r="D40" s="4" t="s">
        <v>107</v>
      </c>
      <c r="E40" s="4" t="s">
        <v>108</v>
      </c>
      <c r="F40" s="5"/>
      <c r="G40" s="5"/>
      <c r="H40" s="5"/>
    </row>
    <row r="41" customFormat="false" ht="23.85" hidden="false" customHeight="false" outlineLevel="0" collapsed="false">
      <c r="A41" s="4" t="s">
        <v>109</v>
      </c>
      <c r="B41" s="4" t="s">
        <v>11</v>
      </c>
      <c r="C41" s="4" t="s">
        <v>22</v>
      </c>
      <c r="D41" s="4" t="s">
        <v>110</v>
      </c>
      <c r="E41" s="4" t="s">
        <v>111</v>
      </c>
      <c r="F41" s="5"/>
      <c r="G41" s="5"/>
      <c r="H41" s="5"/>
    </row>
    <row r="42" customFormat="false" ht="23.85" hidden="false" customHeight="false" outlineLevel="0" collapsed="false">
      <c r="A42" s="4" t="s">
        <v>109</v>
      </c>
      <c r="B42" s="4" t="s">
        <v>15</v>
      </c>
      <c r="C42" s="4" t="s">
        <v>22</v>
      </c>
      <c r="D42" s="4" t="s">
        <v>112</v>
      </c>
      <c r="E42" s="4" t="s">
        <v>113</v>
      </c>
      <c r="F42" s="5"/>
      <c r="G42" s="5"/>
      <c r="H42" s="5"/>
    </row>
    <row r="43" customFormat="false" ht="15" hidden="false" customHeight="false" outlineLevel="0" collapsed="false">
      <c r="A43" s="4" t="s">
        <v>109</v>
      </c>
      <c r="B43" s="4" t="s">
        <v>18</v>
      </c>
      <c r="C43" s="4" t="s">
        <v>32</v>
      </c>
      <c r="D43" s="4" t="s">
        <v>114</v>
      </c>
      <c r="E43" s="4" t="s">
        <v>115</v>
      </c>
      <c r="F43" s="5"/>
      <c r="G43" s="5"/>
      <c r="H43" s="5"/>
    </row>
    <row r="44" customFormat="false" ht="15" hidden="false" customHeight="false" outlineLevel="0" collapsed="false">
      <c r="A44" s="4" t="s">
        <v>109</v>
      </c>
      <c r="B44" s="4" t="s">
        <v>21</v>
      </c>
      <c r="C44" s="4" t="s">
        <v>32</v>
      </c>
      <c r="D44" s="4" t="s">
        <v>116</v>
      </c>
      <c r="E44" s="4" t="s">
        <v>117</v>
      </c>
      <c r="F44" s="5"/>
      <c r="G44" s="5"/>
      <c r="H44" s="5"/>
    </row>
    <row r="45" customFormat="false" ht="15" hidden="false" customHeight="false" outlineLevel="0" collapsed="false">
      <c r="A45" s="4" t="s">
        <v>109</v>
      </c>
      <c r="B45" s="4" t="s">
        <v>25</v>
      </c>
      <c r="C45" s="4" t="s">
        <v>22</v>
      </c>
      <c r="D45" s="4" t="s">
        <v>118</v>
      </c>
      <c r="E45" s="4" t="s">
        <v>119</v>
      </c>
      <c r="F45" s="5"/>
      <c r="G45" s="5"/>
      <c r="H45" s="5"/>
    </row>
    <row r="46" customFormat="false" ht="23.85" hidden="false" customHeight="false" outlineLevel="0" collapsed="false">
      <c r="A46" s="4" t="s">
        <v>120</v>
      </c>
      <c r="B46" s="4" t="s">
        <v>11</v>
      </c>
      <c r="C46" s="4" t="s">
        <v>66</v>
      </c>
      <c r="D46" s="4" t="s">
        <v>121</v>
      </c>
      <c r="E46" s="4" t="s">
        <v>122</v>
      </c>
      <c r="F46" s="5"/>
      <c r="G46" s="5"/>
      <c r="H46" s="5"/>
    </row>
    <row r="47" customFormat="false" ht="23.85" hidden="false" customHeight="false" outlineLevel="0" collapsed="false">
      <c r="A47" s="4" t="s">
        <v>120</v>
      </c>
      <c r="B47" s="4" t="s">
        <v>15</v>
      </c>
      <c r="C47" s="4" t="s">
        <v>66</v>
      </c>
      <c r="D47" s="4" t="s">
        <v>123</v>
      </c>
      <c r="E47" s="4" t="s">
        <v>124</v>
      </c>
      <c r="F47" s="5"/>
      <c r="G47" s="5"/>
      <c r="H47" s="5"/>
    </row>
    <row r="48" customFormat="false" ht="23.85" hidden="false" customHeight="false" outlineLevel="0" collapsed="false">
      <c r="A48" s="4" t="s">
        <v>120</v>
      </c>
      <c r="B48" s="4" t="s">
        <v>18</v>
      </c>
      <c r="C48" s="4" t="s">
        <v>32</v>
      </c>
      <c r="D48" s="4" t="s">
        <v>125</v>
      </c>
      <c r="E48" s="4" t="s">
        <v>126</v>
      </c>
      <c r="F48" s="5"/>
      <c r="G48" s="5"/>
      <c r="H48" s="5"/>
    </row>
    <row r="49" customFormat="false" ht="23.85" hidden="false" customHeight="false" outlineLevel="0" collapsed="false">
      <c r="A49" s="4" t="s">
        <v>120</v>
      </c>
      <c r="B49" s="4" t="s">
        <v>21</v>
      </c>
      <c r="C49" s="4" t="s">
        <v>32</v>
      </c>
      <c r="D49" s="4" t="s">
        <v>127</v>
      </c>
      <c r="E49" s="4" t="s">
        <v>128</v>
      </c>
      <c r="F49" s="5"/>
      <c r="G49" s="5"/>
      <c r="H49" s="5"/>
    </row>
    <row r="50" customFormat="false" ht="23.85" hidden="false" customHeight="false" outlineLevel="0" collapsed="false">
      <c r="A50" s="4" t="s">
        <v>120</v>
      </c>
      <c r="B50" s="4" t="s">
        <v>25</v>
      </c>
      <c r="C50" s="4" t="s">
        <v>32</v>
      </c>
      <c r="D50" s="4" t="s">
        <v>129</v>
      </c>
      <c r="E50" s="4" t="s">
        <v>130</v>
      </c>
      <c r="F50" s="5"/>
      <c r="G50" s="5"/>
      <c r="H50" s="5"/>
    </row>
    <row r="51" customFormat="false" ht="23.85" hidden="false" customHeight="false" outlineLevel="0" collapsed="false">
      <c r="A51" s="4" t="s">
        <v>131</v>
      </c>
      <c r="B51" s="4" t="s">
        <v>11</v>
      </c>
      <c r="C51" s="4" t="s">
        <v>32</v>
      </c>
      <c r="D51" s="4" t="s">
        <v>132</v>
      </c>
      <c r="E51" s="4" t="s">
        <v>133</v>
      </c>
      <c r="F51" s="5"/>
      <c r="G51" s="5"/>
      <c r="H51" s="5"/>
    </row>
    <row r="52" customFormat="false" ht="23.85" hidden="false" customHeight="false" outlineLevel="0" collapsed="false">
      <c r="A52" s="4" t="s">
        <v>131</v>
      </c>
      <c r="B52" s="4" t="s">
        <v>15</v>
      </c>
      <c r="C52" s="4" t="s">
        <v>32</v>
      </c>
      <c r="D52" s="4" t="s">
        <v>134</v>
      </c>
      <c r="E52" s="4" t="s">
        <v>135</v>
      </c>
      <c r="F52" s="5"/>
      <c r="G52" s="5"/>
      <c r="H52" s="5"/>
    </row>
    <row r="53" customFormat="false" ht="23.85" hidden="false" customHeight="false" outlineLevel="0" collapsed="false">
      <c r="A53" s="4" t="s">
        <v>131</v>
      </c>
      <c r="B53" s="4" t="s">
        <v>18</v>
      </c>
      <c r="C53" s="4" t="s">
        <v>73</v>
      </c>
      <c r="D53" s="4" t="s">
        <v>136</v>
      </c>
      <c r="E53" s="4" t="s">
        <v>137</v>
      </c>
      <c r="F53" s="5"/>
      <c r="G53" s="5"/>
      <c r="H53" s="5"/>
    </row>
    <row r="54" customFormat="false" ht="23.85" hidden="false" customHeight="false" outlineLevel="0" collapsed="false">
      <c r="A54" s="4" t="s">
        <v>131</v>
      </c>
      <c r="B54" s="4" t="s">
        <v>21</v>
      </c>
      <c r="C54" s="4" t="s">
        <v>32</v>
      </c>
      <c r="D54" s="4" t="s">
        <v>138</v>
      </c>
      <c r="E54" s="4" t="s">
        <v>139</v>
      </c>
      <c r="F54" s="5"/>
      <c r="G54" s="5"/>
      <c r="H54" s="5"/>
    </row>
    <row r="55" customFormat="false" ht="23.85" hidden="false" customHeight="false" outlineLevel="0" collapsed="false">
      <c r="A55" s="4" t="s">
        <v>131</v>
      </c>
      <c r="B55" s="4" t="s">
        <v>25</v>
      </c>
      <c r="C55" s="4" t="s">
        <v>80</v>
      </c>
      <c r="D55" s="4" t="s">
        <v>140</v>
      </c>
      <c r="E55" s="4" t="s">
        <v>141</v>
      </c>
      <c r="F55" s="5"/>
      <c r="G55" s="5"/>
      <c r="H55" s="5"/>
    </row>
    <row r="56" customFormat="false" ht="23.85" hidden="false" customHeight="false" outlineLevel="0" collapsed="false">
      <c r="A56" s="4" t="s">
        <v>131</v>
      </c>
      <c r="B56" s="4" t="s">
        <v>41</v>
      </c>
      <c r="C56" s="4" t="s">
        <v>32</v>
      </c>
      <c r="D56" s="4" t="s">
        <v>142</v>
      </c>
      <c r="E56" s="4" t="s">
        <v>143</v>
      </c>
      <c r="F56" s="5"/>
      <c r="G56" s="5"/>
      <c r="H56" s="5"/>
    </row>
    <row r="57" customFormat="false" ht="23.85" hidden="false" customHeight="false" outlineLevel="0" collapsed="false">
      <c r="A57" s="4" t="s">
        <v>144</v>
      </c>
      <c r="B57" s="4" t="s">
        <v>11</v>
      </c>
      <c r="C57" s="4" t="s">
        <v>48</v>
      </c>
      <c r="D57" s="4" t="s">
        <v>145</v>
      </c>
      <c r="E57" s="4" t="s">
        <v>146</v>
      </c>
      <c r="F57" s="5"/>
      <c r="G57" s="5"/>
      <c r="H57" s="5"/>
    </row>
    <row r="58" customFormat="false" ht="23.85" hidden="false" customHeight="false" outlineLevel="0" collapsed="false">
      <c r="A58" s="4" t="s">
        <v>144</v>
      </c>
      <c r="B58" s="4" t="s">
        <v>15</v>
      </c>
      <c r="C58" s="4" t="s">
        <v>48</v>
      </c>
      <c r="D58" s="4" t="s">
        <v>147</v>
      </c>
      <c r="E58" s="4" t="s">
        <v>148</v>
      </c>
      <c r="F58" s="5"/>
      <c r="G58" s="5"/>
      <c r="H58" s="5"/>
    </row>
    <row r="59" customFormat="false" ht="23.85" hidden="false" customHeight="false" outlineLevel="0" collapsed="false">
      <c r="A59" s="4" t="s">
        <v>149</v>
      </c>
      <c r="B59" s="4" t="s">
        <v>11</v>
      </c>
      <c r="C59" s="4" t="s">
        <v>80</v>
      </c>
      <c r="D59" s="4" t="s">
        <v>150</v>
      </c>
      <c r="E59" s="4" t="s">
        <v>151</v>
      </c>
      <c r="F59" s="5"/>
      <c r="G59" s="5"/>
      <c r="H59" s="5"/>
    </row>
    <row r="60" customFormat="false" ht="15" hidden="false" customHeight="false" outlineLevel="0" collapsed="false">
      <c r="A60" s="4" t="s">
        <v>149</v>
      </c>
      <c r="B60" s="4" t="s">
        <v>15</v>
      </c>
      <c r="C60" s="4" t="s">
        <v>73</v>
      </c>
      <c r="D60" s="4" t="s">
        <v>152</v>
      </c>
      <c r="E60" s="4" t="s">
        <v>153</v>
      </c>
      <c r="F60" s="5"/>
      <c r="G60" s="5"/>
      <c r="H60" s="5"/>
    </row>
    <row r="61" customFormat="false" ht="23.85" hidden="false" customHeight="false" outlineLevel="0" collapsed="false">
      <c r="A61" s="4" t="s">
        <v>154</v>
      </c>
      <c r="B61" s="4" t="s">
        <v>11</v>
      </c>
      <c r="C61" s="4" t="s">
        <v>73</v>
      </c>
      <c r="D61" s="4" t="s">
        <v>155</v>
      </c>
      <c r="E61" s="4" t="s">
        <v>156</v>
      </c>
      <c r="F61" s="5"/>
      <c r="G61" s="5"/>
      <c r="H61" s="5"/>
    </row>
    <row r="62" customFormat="false" ht="23.85" hidden="false" customHeight="false" outlineLevel="0" collapsed="false">
      <c r="A62" s="4" t="s">
        <v>154</v>
      </c>
      <c r="B62" s="4" t="s">
        <v>15</v>
      </c>
      <c r="C62" s="4" t="s">
        <v>80</v>
      </c>
      <c r="D62" s="4" t="s">
        <v>157</v>
      </c>
      <c r="E62" s="4" t="s">
        <v>158</v>
      </c>
      <c r="F62" s="5"/>
      <c r="G62" s="5"/>
      <c r="H62" s="5"/>
    </row>
    <row r="63" customFormat="false" ht="23.85" hidden="false" customHeight="false" outlineLevel="0" collapsed="false">
      <c r="A63" s="4" t="s">
        <v>154</v>
      </c>
      <c r="B63" s="4" t="s">
        <v>18</v>
      </c>
      <c r="C63" s="4" t="s">
        <v>73</v>
      </c>
      <c r="D63" s="4" t="s">
        <v>159</v>
      </c>
      <c r="E63" s="4" t="s">
        <v>160</v>
      </c>
      <c r="F63" s="5"/>
      <c r="G63" s="5"/>
      <c r="H63" s="5"/>
    </row>
    <row r="64" customFormat="false" ht="23.85" hidden="false" customHeight="false" outlineLevel="0" collapsed="false">
      <c r="A64" s="4" t="s">
        <v>161</v>
      </c>
      <c r="B64" s="4" t="s">
        <v>11</v>
      </c>
      <c r="C64" s="4" t="s">
        <v>80</v>
      </c>
      <c r="D64" s="4" t="s">
        <v>162</v>
      </c>
      <c r="E64" s="4" t="s">
        <v>163</v>
      </c>
      <c r="F64" s="5"/>
      <c r="G64" s="5"/>
      <c r="H64" s="5"/>
    </row>
    <row r="65" customFormat="false" ht="23.85" hidden="false" customHeight="false" outlineLevel="0" collapsed="false">
      <c r="A65" s="4" t="s">
        <v>161</v>
      </c>
      <c r="B65" s="4" t="s">
        <v>15</v>
      </c>
      <c r="C65" s="4" t="s">
        <v>32</v>
      </c>
      <c r="D65" s="4" t="s">
        <v>164</v>
      </c>
      <c r="E65" s="4" t="s">
        <v>165</v>
      </c>
      <c r="F65" s="5"/>
      <c r="G65" s="5"/>
      <c r="H65" s="5"/>
    </row>
    <row r="66" customFormat="false" ht="23.85" hidden="false" customHeight="false" outlineLevel="0" collapsed="false">
      <c r="A66" s="4" t="s">
        <v>161</v>
      </c>
      <c r="B66" s="4" t="s">
        <v>18</v>
      </c>
      <c r="C66" s="4" t="s">
        <v>32</v>
      </c>
      <c r="D66" s="4" t="s">
        <v>166</v>
      </c>
      <c r="E66" s="4" t="s">
        <v>167</v>
      </c>
      <c r="F66" s="5"/>
      <c r="G66" s="5"/>
      <c r="H66" s="5"/>
    </row>
    <row r="67" customFormat="false" ht="23.85" hidden="false" customHeight="false" outlineLevel="0" collapsed="false">
      <c r="A67" s="4" t="s">
        <v>168</v>
      </c>
      <c r="B67" s="4" t="s">
        <v>11</v>
      </c>
      <c r="C67" s="4" t="s">
        <v>169</v>
      </c>
      <c r="D67" s="4" t="s">
        <v>170</v>
      </c>
      <c r="E67" s="4" t="s">
        <v>171</v>
      </c>
      <c r="F67" s="5"/>
      <c r="G67" s="5"/>
      <c r="H67" s="5"/>
    </row>
    <row r="68" customFormat="false" ht="23.85" hidden="false" customHeight="false" outlineLevel="0" collapsed="false">
      <c r="A68" s="4" t="s">
        <v>168</v>
      </c>
      <c r="B68" s="4" t="s">
        <v>15</v>
      </c>
      <c r="C68" s="4" t="s">
        <v>172</v>
      </c>
      <c r="D68" s="4" t="s">
        <v>173</v>
      </c>
      <c r="E68" s="4" t="s">
        <v>174</v>
      </c>
      <c r="F68" s="5"/>
      <c r="G68" s="5"/>
      <c r="H68" s="5"/>
    </row>
    <row r="69" customFormat="false" ht="23.85" hidden="false" customHeight="false" outlineLevel="0" collapsed="false">
      <c r="A69" s="4" t="s">
        <v>168</v>
      </c>
      <c r="B69" s="4" t="s">
        <v>18</v>
      </c>
      <c r="C69" s="4" t="s">
        <v>175</v>
      </c>
      <c r="D69" s="4" t="s">
        <v>176</v>
      </c>
      <c r="E69" s="4" t="s">
        <v>177</v>
      </c>
      <c r="F69" s="5"/>
      <c r="G69" s="5"/>
      <c r="H69" s="5"/>
    </row>
    <row r="70" customFormat="false" ht="23.85" hidden="false" customHeight="false" outlineLevel="0" collapsed="false">
      <c r="A70" s="4" t="s">
        <v>168</v>
      </c>
      <c r="B70" s="4" t="s">
        <v>21</v>
      </c>
      <c r="C70" s="4" t="s">
        <v>175</v>
      </c>
      <c r="D70" s="4" t="s">
        <v>178</v>
      </c>
      <c r="E70" s="4" t="s">
        <v>179</v>
      </c>
      <c r="F70" s="5"/>
      <c r="G70" s="5"/>
      <c r="H70" s="5"/>
    </row>
    <row r="71" customFormat="false" ht="23.85" hidden="false" customHeight="false" outlineLevel="0" collapsed="false">
      <c r="A71" s="4" t="s">
        <v>168</v>
      </c>
      <c r="B71" s="4" t="s">
        <v>25</v>
      </c>
      <c r="C71" s="4" t="s">
        <v>180</v>
      </c>
      <c r="D71" s="4" t="s">
        <v>181</v>
      </c>
      <c r="E71" s="4" t="s">
        <v>182</v>
      </c>
      <c r="F71" s="5"/>
      <c r="G71" s="5"/>
      <c r="H71" s="5"/>
    </row>
    <row r="72" customFormat="false" ht="23.85" hidden="false" customHeight="false" outlineLevel="0" collapsed="false">
      <c r="A72" s="4" t="s">
        <v>168</v>
      </c>
      <c r="B72" s="4" t="s">
        <v>41</v>
      </c>
      <c r="C72" s="4" t="s">
        <v>32</v>
      </c>
      <c r="D72" s="4" t="s">
        <v>183</v>
      </c>
      <c r="E72" s="4" t="s">
        <v>184</v>
      </c>
      <c r="F72" s="5"/>
      <c r="G72" s="5"/>
      <c r="H72" s="5"/>
    </row>
  </sheetData>
  <autoFilter ref="A4:H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1"/>
  </cols>
  <sheetData>
    <row r="1" customFormat="false" ht="17.35" hidden="false" customHeight="false" outlineLevel="0" collapsed="false">
      <c r="A1" s="6" t="s">
        <v>185</v>
      </c>
    </row>
    <row r="2" customFormat="false" ht="15" hidden="false" customHeight="false" outlineLevel="0" collapsed="false">
      <c r="A2" s="2" t="s">
        <v>186</v>
      </c>
    </row>
    <row r="4" customFormat="false" ht="15" hidden="false" customHeight="false" outlineLevel="0" collapsed="false">
      <c r="A4" s="7" t="s">
        <v>2</v>
      </c>
      <c r="B4" s="7" t="s">
        <v>187</v>
      </c>
      <c r="C4" s="7" t="s">
        <v>188</v>
      </c>
      <c r="D4" s="7" t="s">
        <v>189</v>
      </c>
      <c r="E4" s="7" t="s">
        <v>190</v>
      </c>
    </row>
    <row r="5" customFormat="false" ht="15" hidden="false" customHeight="false" outlineLevel="0" collapsed="false">
      <c r="A5" s="8" t="s">
        <v>10</v>
      </c>
      <c r="B5" s="9" t="n">
        <f aca="false">COUNTIF('BF Execution'!$A$5:$A$72,A5)</f>
        <v>5</v>
      </c>
      <c r="C5" s="9" t="n">
        <f aca="false">COUNTIFS('BF Execution'!$A$5:$A$72,A5,'BF Execution'!$F$5:$F$72,"&lt;&gt;")</f>
        <v>0</v>
      </c>
      <c r="D5" s="9" t="n">
        <f aca="false">COUNTIFS('BF Execution'!$A$5:$A$72,A5,'BF Execution'!$F$5:$F$72,"PASS")</f>
        <v>0</v>
      </c>
      <c r="E5" s="9" t="n">
        <f aca="false">COUNTIFS('BF Execution'!$A$5:$A$72,A5,'BF Execution'!$F$5:$F$72,"FAIL")</f>
        <v>0</v>
      </c>
    </row>
    <row r="6" customFormat="false" ht="15" hidden="false" customHeight="false" outlineLevel="0" collapsed="false">
      <c r="A6" s="8" t="s">
        <v>28</v>
      </c>
      <c r="B6" s="9" t="n">
        <f aca="false">COUNTIF('BF Execution'!$A$5:$A$72,A6)</f>
        <v>7</v>
      </c>
      <c r="C6" s="9" t="n">
        <f aca="false">COUNTIFS('BF Execution'!$A$5:$A$72,A6,'BF Execution'!$F$5:$F$72,"&lt;&gt;")</f>
        <v>0</v>
      </c>
      <c r="D6" s="9" t="n">
        <f aca="false">COUNTIFS('BF Execution'!$A$5:$A$72,A6,'BF Execution'!$F$5:$F$72,"PASS")</f>
        <v>0</v>
      </c>
      <c r="E6" s="9" t="n">
        <f aca="false">COUNTIFS('BF Execution'!$A$5:$A$72,A6,'BF Execution'!$F$5:$F$72,"FAIL")</f>
        <v>0</v>
      </c>
    </row>
    <row r="7" customFormat="false" ht="15" hidden="false" customHeight="false" outlineLevel="0" collapsed="false">
      <c r="A7" s="8" t="s">
        <v>47</v>
      </c>
      <c r="B7" s="9" t="n">
        <f aca="false">COUNTIF('BF Execution'!$A$5:$A$72,A7)</f>
        <v>7</v>
      </c>
      <c r="C7" s="9" t="n">
        <f aca="false">COUNTIFS('BF Execution'!$A$5:$A$72,A7,'BF Execution'!$F$5:$F$72,"&lt;&gt;")</f>
        <v>0</v>
      </c>
      <c r="D7" s="9" t="n">
        <f aca="false">COUNTIFS('BF Execution'!$A$5:$A$72,A7,'BF Execution'!$F$5:$F$72,"PASS")</f>
        <v>0</v>
      </c>
      <c r="E7" s="9" t="n">
        <f aca="false">COUNTIFS('BF Execution'!$A$5:$A$72,A7,'BF Execution'!$F$5:$F$72,"FAIL")</f>
        <v>0</v>
      </c>
    </row>
    <row r="8" customFormat="false" ht="15" hidden="false" customHeight="false" outlineLevel="0" collapsed="false">
      <c r="A8" s="8" t="s">
        <v>65</v>
      </c>
      <c r="B8" s="9" t="n">
        <f aca="false">COUNTIF('BF Execution'!$A$5:$A$72,A8)</f>
        <v>9</v>
      </c>
      <c r="C8" s="9" t="n">
        <f aca="false">COUNTIFS('BF Execution'!$A$5:$A$72,A8,'BF Execution'!$F$5:$F$72,"&lt;&gt;")</f>
        <v>0</v>
      </c>
      <c r="D8" s="9" t="n">
        <f aca="false">COUNTIFS('BF Execution'!$A$5:$A$72,A8,'BF Execution'!$F$5:$F$72,"PASS")</f>
        <v>0</v>
      </c>
      <c r="E8" s="9" t="n">
        <f aca="false">COUNTIFS('BF Execution'!$A$5:$A$72,A8,'BF Execution'!$F$5:$F$72,"FAIL")</f>
        <v>0</v>
      </c>
    </row>
    <row r="9" customFormat="false" ht="15" hidden="false" customHeight="false" outlineLevel="0" collapsed="false">
      <c r="A9" s="8" t="s">
        <v>89</v>
      </c>
      <c r="B9" s="9" t="n">
        <f aca="false">COUNTIF('BF Execution'!$A$5:$A$72,A9)</f>
        <v>3</v>
      </c>
      <c r="C9" s="9" t="n">
        <f aca="false">COUNTIFS('BF Execution'!$A$5:$A$72,A9,'BF Execution'!$F$5:$F$72,"&lt;&gt;")</f>
        <v>0</v>
      </c>
      <c r="D9" s="9" t="n">
        <f aca="false">COUNTIFS('BF Execution'!$A$5:$A$72,A9,'BF Execution'!$F$5:$F$72,"PASS")</f>
        <v>0</v>
      </c>
      <c r="E9" s="9" t="n">
        <f aca="false">COUNTIFS('BF Execution'!$A$5:$A$72,A9,'BF Execution'!$F$5:$F$72,"FAIL")</f>
        <v>0</v>
      </c>
    </row>
    <row r="10" customFormat="false" ht="15" hidden="false" customHeight="false" outlineLevel="0" collapsed="false">
      <c r="A10" s="8" t="s">
        <v>96</v>
      </c>
      <c r="B10" s="9" t="n">
        <f aca="false">COUNTIF('BF Execution'!$A$5:$A$72,A10)</f>
        <v>5</v>
      </c>
      <c r="C10" s="9" t="n">
        <f aca="false">COUNTIFS('BF Execution'!$A$5:$A$72,A10,'BF Execution'!$F$5:$F$72,"&lt;&gt;")</f>
        <v>0</v>
      </c>
      <c r="D10" s="9" t="n">
        <f aca="false">COUNTIFS('BF Execution'!$A$5:$A$72,A10,'BF Execution'!$F$5:$F$72,"PASS")</f>
        <v>0</v>
      </c>
      <c r="E10" s="9" t="n">
        <f aca="false">COUNTIFS('BF Execution'!$A$5:$A$72,A10,'BF Execution'!$F$5:$F$72,"FAIL")</f>
        <v>0</v>
      </c>
    </row>
    <row r="11" customFormat="false" ht="15" hidden="false" customHeight="false" outlineLevel="0" collapsed="false">
      <c r="A11" s="8" t="s">
        <v>109</v>
      </c>
      <c r="B11" s="9" t="n">
        <f aca="false">COUNTIF('BF Execution'!$A$5:$A$72,A11)</f>
        <v>5</v>
      </c>
      <c r="C11" s="9" t="n">
        <f aca="false">COUNTIFS('BF Execution'!$A$5:$A$72,A11,'BF Execution'!$F$5:$F$72,"&lt;&gt;")</f>
        <v>0</v>
      </c>
      <c r="D11" s="9" t="n">
        <f aca="false">COUNTIFS('BF Execution'!$A$5:$A$72,A11,'BF Execution'!$F$5:$F$72,"PASS")</f>
        <v>0</v>
      </c>
      <c r="E11" s="9" t="n">
        <f aca="false">COUNTIFS('BF Execution'!$A$5:$A$72,A11,'BF Execution'!$F$5:$F$72,"FAIL")</f>
        <v>0</v>
      </c>
    </row>
    <row r="12" customFormat="false" ht="15" hidden="false" customHeight="false" outlineLevel="0" collapsed="false">
      <c r="A12" s="8" t="s">
        <v>120</v>
      </c>
      <c r="B12" s="9" t="n">
        <f aca="false">COUNTIF('BF Execution'!$A$5:$A$72,A12)</f>
        <v>5</v>
      </c>
      <c r="C12" s="9" t="n">
        <f aca="false">COUNTIFS('BF Execution'!$A$5:$A$72,A12,'BF Execution'!$F$5:$F$72,"&lt;&gt;")</f>
        <v>0</v>
      </c>
      <c r="D12" s="9" t="n">
        <f aca="false">COUNTIFS('BF Execution'!$A$5:$A$72,A12,'BF Execution'!$F$5:$F$72,"PASS")</f>
        <v>0</v>
      </c>
      <c r="E12" s="9" t="n">
        <f aca="false">COUNTIFS('BF Execution'!$A$5:$A$72,A12,'BF Execution'!$F$5:$F$72,"FAIL")</f>
        <v>0</v>
      </c>
    </row>
    <row r="13" customFormat="false" ht="15" hidden="false" customHeight="false" outlineLevel="0" collapsed="false">
      <c r="A13" s="8" t="s">
        <v>131</v>
      </c>
      <c r="B13" s="9" t="n">
        <f aca="false">COUNTIF('BF Execution'!$A$5:$A$72,A13)</f>
        <v>6</v>
      </c>
      <c r="C13" s="9" t="n">
        <f aca="false">COUNTIFS('BF Execution'!$A$5:$A$72,A13,'BF Execution'!$F$5:$F$72,"&lt;&gt;")</f>
        <v>0</v>
      </c>
      <c r="D13" s="9" t="n">
        <f aca="false">COUNTIFS('BF Execution'!$A$5:$A$72,A13,'BF Execution'!$F$5:$F$72,"PASS")</f>
        <v>0</v>
      </c>
      <c r="E13" s="9" t="n">
        <f aca="false">COUNTIFS('BF Execution'!$A$5:$A$72,A13,'BF Execution'!$F$5:$F$72,"FAIL")</f>
        <v>0</v>
      </c>
    </row>
    <row r="14" customFormat="false" ht="15" hidden="false" customHeight="false" outlineLevel="0" collapsed="false">
      <c r="A14" s="8" t="s">
        <v>144</v>
      </c>
      <c r="B14" s="9" t="n">
        <f aca="false">COUNTIF('BF Execution'!$A$5:$A$72,A14)</f>
        <v>2</v>
      </c>
      <c r="C14" s="9" t="n">
        <f aca="false">COUNTIFS('BF Execution'!$A$5:$A$72,A14,'BF Execution'!$F$5:$F$72,"&lt;&gt;")</f>
        <v>0</v>
      </c>
      <c r="D14" s="9" t="n">
        <f aca="false">COUNTIFS('BF Execution'!$A$5:$A$72,A14,'BF Execution'!$F$5:$F$72,"PASS")</f>
        <v>0</v>
      </c>
      <c r="E14" s="9" t="n">
        <f aca="false">COUNTIFS('BF Execution'!$A$5:$A$72,A14,'BF Execution'!$F$5:$F$72,"FAIL")</f>
        <v>0</v>
      </c>
    </row>
    <row r="15" customFormat="false" ht="15" hidden="false" customHeight="false" outlineLevel="0" collapsed="false">
      <c r="A15" s="8" t="s">
        <v>149</v>
      </c>
      <c r="B15" s="9" t="n">
        <f aca="false">COUNTIF('BF Execution'!$A$5:$A$72,A15)</f>
        <v>2</v>
      </c>
      <c r="C15" s="9" t="n">
        <f aca="false">COUNTIFS('BF Execution'!$A$5:$A$72,A15,'BF Execution'!$F$5:$F$72,"&lt;&gt;")</f>
        <v>0</v>
      </c>
      <c r="D15" s="9" t="n">
        <f aca="false">COUNTIFS('BF Execution'!$A$5:$A$72,A15,'BF Execution'!$F$5:$F$72,"PASS")</f>
        <v>0</v>
      </c>
      <c r="E15" s="9" t="n">
        <f aca="false">COUNTIFS('BF Execution'!$A$5:$A$72,A15,'BF Execution'!$F$5:$F$72,"FAIL")</f>
        <v>0</v>
      </c>
    </row>
    <row r="16" customFormat="false" ht="15" hidden="false" customHeight="false" outlineLevel="0" collapsed="false">
      <c r="A16" s="8" t="s">
        <v>154</v>
      </c>
      <c r="B16" s="9" t="n">
        <f aca="false">COUNTIF('BF Execution'!$A$5:$A$72,A16)</f>
        <v>3</v>
      </c>
      <c r="C16" s="9" t="n">
        <f aca="false">COUNTIFS('BF Execution'!$A$5:$A$72,A16,'BF Execution'!$F$5:$F$72,"&lt;&gt;")</f>
        <v>0</v>
      </c>
      <c r="D16" s="9" t="n">
        <f aca="false">COUNTIFS('BF Execution'!$A$5:$A$72,A16,'BF Execution'!$F$5:$F$72,"PASS")</f>
        <v>0</v>
      </c>
      <c r="E16" s="9" t="n">
        <f aca="false">COUNTIFS('BF Execution'!$A$5:$A$72,A16,'BF Execution'!$F$5:$F$72,"FAIL")</f>
        <v>0</v>
      </c>
    </row>
    <row r="17" customFormat="false" ht="15" hidden="false" customHeight="false" outlineLevel="0" collapsed="false">
      <c r="A17" s="8" t="s">
        <v>161</v>
      </c>
      <c r="B17" s="9" t="n">
        <f aca="false">COUNTIF('BF Execution'!$A$5:$A$72,A17)</f>
        <v>3</v>
      </c>
      <c r="C17" s="9" t="n">
        <f aca="false">COUNTIFS('BF Execution'!$A$5:$A$72,A17,'BF Execution'!$F$5:$F$72,"&lt;&gt;")</f>
        <v>0</v>
      </c>
      <c r="D17" s="9" t="n">
        <f aca="false">COUNTIFS('BF Execution'!$A$5:$A$72,A17,'BF Execution'!$F$5:$F$72,"PASS")</f>
        <v>0</v>
      </c>
      <c r="E17" s="9" t="n">
        <f aca="false">COUNTIFS('BF Execution'!$A$5:$A$72,A17,'BF Execution'!$F$5:$F$72,"FAIL")</f>
        <v>0</v>
      </c>
    </row>
    <row r="18" customFormat="false" ht="15" hidden="false" customHeight="false" outlineLevel="0" collapsed="false">
      <c r="A18" s="8" t="s">
        <v>168</v>
      </c>
      <c r="B18" s="9" t="n">
        <f aca="false">COUNTIF('BF Execution'!$A$5:$A$72,A18)</f>
        <v>6</v>
      </c>
      <c r="C18" s="9" t="n">
        <f aca="false">COUNTIFS('BF Execution'!$A$5:$A$72,A18,'BF Execution'!$F$5:$F$72,"&lt;&gt;")</f>
        <v>0</v>
      </c>
      <c r="D18" s="9" t="n">
        <f aca="false">COUNTIFS('BF Execution'!$A$5:$A$72,A18,'BF Execution'!$F$5:$F$72,"PASS")</f>
        <v>0</v>
      </c>
      <c r="E18" s="9" t="n">
        <f aca="false">COUNTIFS('BF Execution'!$A$5:$A$72,A18,'BF Execution'!$F$5:$F$72,"FAIL")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2026-08-11T20:14:47Z</dcterms:created>
  <dc:creator>openpyxl</dc:creator>
  <dc:description/>
  <dc:language>en-US</dc:language>
  <cp:lastModifiedBy/>
  <dcterms:modified xsi:type="dcterms:W3CDTF">2026-08-11T20:14:47Z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