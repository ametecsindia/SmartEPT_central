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Cases'!$A$4:$K$148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0B6373"/>
      <sz val="14"/>
    </font>
    <font>
      <name val="Arial"/>
      <color rgb="00565A66"/>
      <sz val="9"/>
    </font>
    <font>
      <name val="Arial"/>
      <b val="1"/>
      <color rgb="00FFFFFF"/>
      <sz val="9.5"/>
    </font>
    <font>
      <name val="Arial"/>
      <b val="1"/>
      <color rgb="000B6373"/>
      <sz val="10"/>
    </font>
    <font>
      <name val="Arial"/>
      <b val="1"/>
      <color rgb="0015171C"/>
      <sz val="9"/>
    </font>
    <font>
      <name val="Arial"/>
      <color rgb="0015171C"/>
      <sz val="9"/>
    </font>
    <font>
      <name val="Arial"/>
      <b val="1"/>
      <color rgb="00D02748"/>
      <sz val="9"/>
    </font>
    <font>
      <name val="Arial"/>
      <b val="1"/>
      <color rgb="00B7791F"/>
      <sz val="9"/>
    </font>
    <font>
      <name val="Arial"/>
      <i val="1"/>
      <color rgb="00565A66"/>
      <sz val="9"/>
    </font>
    <font>
      <name val="Arial"/>
      <b val="1"/>
      <color rgb="000B6373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0E7C8F"/>
      </patternFill>
    </fill>
    <fill>
      <patternFill patternType="solid">
        <fgColor rgb="00E3F4F7"/>
      </patternFill>
    </fill>
    <fill>
      <patternFill patternType="solid">
        <fgColor rgb="00FAFBFC"/>
      </patternFill>
    </fill>
  </fills>
  <borders count="2">
    <border>
      <left/>
      <right/>
      <top/>
      <bottom/>
      <diagonal/>
    </border>
    <border>
      <left style="thin">
        <color rgb="00F0F1F4"/>
      </left>
      <right style="thin">
        <color rgb="00F0F1F4"/>
      </right>
      <top style="thin">
        <color rgb="00F0F1F4"/>
      </top>
      <bottom style="thin">
        <color rgb="00F0F1F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0" pivotButton="0" quotePrefix="0" xfId="0"/>
    <xf numFmtId="0" fontId="10" fillId="0" borderId="0" pivotButton="0" quotePrefix="0" xfId="0"/>
    <xf numFmtId="0" fontId="11" fillId="2" borderId="1" pivotButton="0" quotePrefix="0" xfId="0"/>
    <xf numFmtId="0" fontId="12" fillId="4" borderId="1" pivotButton="0" quotePrefix="0" xfId="0"/>
    <xf numFmtId="0" fontId="13" fillId="4" borderId="1" applyAlignment="1" pivotButton="0" quotePrefix="0" xfId="0">
      <alignment horizontal="center"/>
    </xf>
    <xf numFmtId="0" fontId="12" fillId="0" borderId="1" pivotButton="0" quotePrefix="0" xfId="0"/>
    <xf numFmtId="0" fontId="1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36" customWidth="1" min="4" max="4"/>
    <col width="32" customWidth="1" min="5" max="5"/>
    <col width="42" customWidth="1" min="6" max="6"/>
    <col width="50" customWidth="1" min="7" max="7"/>
    <col width="11" customWidth="1" min="8" max="8"/>
    <col width="14" customWidth="1" min="9" max="9"/>
    <col width="12" customWidth="1" min="10" max="10"/>
    <col width="22" customWidth="1" min="11" max="11"/>
  </cols>
  <sheetData>
    <row r="1">
      <c r="A1" s="1" t="inlineStr">
        <is>
          <t>SmartEPT — Consolidated Test Suite · Sessions of 11–12 August 2026</t>
        </is>
      </c>
    </row>
    <row r="2">
      <c r="A2" s="2" t="inlineStr">
        <is>
          <t>MR-02 · companion to MR-01 · Part 1 = sessions 1–3 features (run on LIVE after deploy) · Part 2 = per-tenant licensing · Part 3 = licence change flows (Parts 2–3: local Laragon first, then P1s on live) · P1 must-pass before sign-off; any P1 Fail → Ejaz immediately</t>
        </is>
      </c>
    </row>
    <row r="4" ht="20" customHeight="1">
      <c r="A4" s="3" t="inlineStr">
        <is>
          <t>TC ID</t>
        </is>
      </c>
      <c r="B4" s="3" t="inlineStr">
        <is>
          <t>Area</t>
        </is>
      </c>
      <c r="C4" s="3" t="inlineStr">
        <is>
          <t>Priority</t>
        </is>
      </c>
      <c r="D4" s="3" t="inlineStr">
        <is>
          <t>Title</t>
        </is>
      </c>
      <c r="E4" s="3" t="inlineStr">
        <is>
          <t>Preconditions</t>
        </is>
      </c>
      <c r="F4" s="3" t="inlineStr">
        <is>
          <t>Steps</t>
        </is>
      </c>
      <c r="G4" s="3" t="inlineStr">
        <is>
          <t>Expected Result</t>
        </is>
      </c>
      <c r="H4" s="3" t="inlineStr">
        <is>
          <t>Result</t>
        </is>
      </c>
      <c r="I4" s="3" t="inlineStr">
        <is>
          <t>Tested By</t>
        </is>
      </c>
      <c r="J4" s="3" t="inlineStr">
        <is>
          <t>Date</t>
        </is>
      </c>
      <c r="K4" s="3" t="inlineStr">
        <is>
          <t>Notes</t>
        </is>
      </c>
    </row>
    <row r="5">
      <c r="A5" s="4" t="inlineStr">
        <is>
          <t>1A. Login, SMTP &amp; forgot-password (S1, Product 22ed12e)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>
      <c r="A6" s="6" t="inlineStr">
        <is>
          <t>TC-1A01</t>
        </is>
      </c>
      <c r="B6" s="7" t="inlineStr">
        <is>
          <t>Login, SMTP &amp; forgot-password (S1, Product 22ed12e)</t>
        </is>
      </c>
      <c r="C6" s="8" t="inlineStr">
        <is>
          <t>P1</t>
        </is>
      </c>
      <c r="D6" s="7" t="inlineStr">
        <is>
          <t>Seeded/unlocked super login works</t>
        </is>
      </c>
      <c r="E6" s="7" t="inlineStr">
        <is>
          <t>Live deployed; super password unlocked via tinker and CHANGED</t>
        </is>
      </c>
      <c r="F6" s="7" t="inlineStr">
        <is>
          <t>1. Sign in at admin.smartept.com/admin as super@smartept.io with the new password</t>
        </is>
      </c>
      <c r="G6" s="7" t="inlineStr">
        <is>
          <t>Login succeeds; Super Admin console loads (before the fix NO seeded login ever worked)</t>
        </is>
      </c>
      <c r="H6" s="9" t="inlineStr"/>
      <c r="I6" s="7" t="inlineStr"/>
      <c r="J6" s="9" t="inlineStr"/>
      <c r="K6" s="7" t="inlineStr"/>
    </row>
    <row r="7">
      <c r="A7" s="6" t="inlineStr">
        <is>
          <t>TC-1A02</t>
        </is>
      </c>
      <c r="B7" s="7" t="inlineStr">
        <is>
          <t>Login, SMTP &amp; forgot-password (S1, Product 22ed12e)</t>
        </is>
      </c>
      <c r="C7" s="8" t="inlineStr">
        <is>
          <t>P1</t>
        </is>
      </c>
      <c r="D7" s="7" t="inlineStr">
        <is>
          <t>All seeded passwords changed</t>
        </is>
      </c>
      <c r="E7" s="7" t="inlineStr">
        <is>
          <t>Live</t>
        </is>
      </c>
      <c r="F7" s="7" t="inlineStr">
        <is>
          <t>1. Attempt login for each seeded demo account with the old default 'password'</t>
        </is>
      </c>
      <c r="G7" s="7" t="inlineStr">
        <is>
          <t>Every attempt FAILS — defaults were rotated after the double-hash fix</t>
        </is>
      </c>
      <c r="H7" s="9" t="inlineStr"/>
      <c r="I7" s="7" t="inlineStr"/>
      <c r="J7" s="9" t="inlineStr"/>
      <c r="K7" s="7" t="inlineStr"/>
    </row>
    <row r="8">
      <c r="A8" s="6" t="inlineStr">
        <is>
          <t>TC-1A03</t>
        </is>
      </c>
      <c r="B8" s="7" t="inlineStr">
        <is>
          <t>Login, SMTP &amp; forgot-password (S1, Product 22ed12e)</t>
        </is>
      </c>
      <c r="C8" s="8" t="inlineStr">
        <is>
          <t>P1</t>
        </is>
      </c>
      <c r="D8" s="7" t="inlineStr">
        <is>
          <t>Global SMTP relay set and delivering</t>
        </is>
      </c>
      <c r="E8" s="7" t="inlineStr">
        <is>
          <t>Super login; real SMTP credentials</t>
        </is>
      </c>
      <c r="F8" s="7" t="inlineStr">
        <is>
          <t>1. Ops → Email/SMTP → global section → save + Test</t>
        </is>
      </c>
      <c r="G8" s="7" t="inlineStr">
        <is>
          <t>Test reports success; a real email arrives</t>
        </is>
      </c>
      <c r="H8" s="9" t="inlineStr"/>
      <c r="I8" s="7" t="inlineStr"/>
      <c r="J8" s="9" t="inlineStr"/>
      <c r="K8" s="7" t="inlineStr"/>
    </row>
    <row r="9">
      <c r="A9" s="6" t="inlineStr">
        <is>
          <t>TC-1A04</t>
        </is>
      </c>
      <c r="B9" s="7" t="inlineStr">
        <is>
          <t>Login, SMTP &amp; forgot-password (S1, Product 22ed12e)</t>
        </is>
      </c>
      <c r="C9" s="8" t="inlineStr">
        <is>
          <t>P1</t>
        </is>
      </c>
      <c r="D9" s="7" t="inlineStr">
        <is>
          <t>Forgot-password end-to-end on live</t>
        </is>
      </c>
      <c r="E9" s="7" t="inlineStr">
        <is>
          <t>Global SMTP set</t>
        </is>
      </c>
      <c r="F9" s="7" t="inlineStr">
        <is>
          <t>1. Console login card → Forgot password? → enter email → receive code → set new password
2. Sign in with it</t>
        </is>
      </c>
      <c r="G9" s="7" t="inlineStr">
        <is>
          <t>OTP arrives by EMAIL (not log); reset works; login OK; audit shows PASSWORD_RESET_REQUESTED/COMPLETED</t>
        </is>
      </c>
      <c r="H9" s="9" t="inlineStr"/>
      <c r="I9" s="7" t="inlineStr"/>
      <c r="J9" s="9" t="inlineStr"/>
      <c r="K9" s="7" t="inlineStr"/>
    </row>
    <row r="10">
      <c r="A10" s="6" t="inlineStr">
        <is>
          <t>TC-1A05</t>
        </is>
      </c>
      <c r="B10" s="7" t="inlineStr">
        <is>
          <t>Login, SMTP &amp; forgot-password (S1, Product 22ed12e)</t>
        </is>
      </c>
      <c r="C10" s="10" t="inlineStr">
        <is>
          <t>P2</t>
        </is>
      </c>
      <c r="D10" s="7" t="inlineStr">
        <is>
          <t>Company SMTP overrides global</t>
        </is>
      </c>
      <c r="E10" s="7" t="inlineStr">
        <is>
          <t>A company with its own SMTP saved</t>
        </is>
      </c>
      <c r="F10" s="7" t="inlineStr">
        <is>
          <t>1. Save company SMTP (Ops card, company section) + Test
2. Trigger any mail for that company (e.g. forgot-password for its user)</t>
        </is>
      </c>
      <c r="G10" s="7" t="inlineStr">
        <is>
          <t>Mail goes out via the COMPANY's SMTP/from; clearing host falls back to global</t>
        </is>
      </c>
      <c r="H10" s="9" t="inlineStr"/>
      <c r="I10" s="7" t="inlineStr"/>
      <c r="J10" s="9" t="inlineStr"/>
      <c r="K10" s="7" t="inlineStr"/>
    </row>
    <row r="11">
      <c r="A11" s="6" t="inlineStr">
        <is>
          <t>TC-1A06</t>
        </is>
      </c>
      <c r="B11" s="7" t="inlineStr">
        <is>
          <t>Login, SMTP &amp; forgot-password (S1, Product 22ed12e)</t>
        </is>
      </c>
      <c r="C11" s="10" t="inlineStr">
        <is>
          <t>P2</t>
        </is>
      </c>
      <c r="D11" s="7" t="inlineStr">
        <is>
          <t>OTP guardrails</t>
        </is>
      </c>
      <c r="E11" s="7" t="inlineStr">
        <is>
          <t>-</t>
        </is>
      </c>
      <c r="F11" s="7" t="inlineStr">
        <is>
          <t>1. Request OTP for an unknown email
2. Enter a wrong OTP 5 times
3. Use an expired (&gt;10 min) code</t>
        </is>
      </c>
      <c r="G11" s="7" t="inlineStr">
        <is>
          <t>Neutral response for unknown email (no probing); 5 attempts then blocked; expiry enforced</t>
        </is>
      </c>
      <c r="H11" s="9" t="inlineStr"/>
      <c r="I11" s="7" t="inlineStr"/>
      <c r="J11" s="9" t="inlineStr"/>
      <c r="K11" s="7" t="inlineStr"/>
    </row>
    <row r="12">
      <c r="A12" s="6" t="inlineStr">
        <is>
          <t>TC-1A07</t>
        </is>
      </c>
      <c r="B12" s="7" t="inlineStr">
        <is>
          <t>Login, SMTP &amp; forgot-password (S1, Product 22ed12e)</t>
        </is>
      </c>
      <c r="C12" s="10" t="inlineStr">
        <is>
          <t>P2</t>
        </is>
      </c>
      <c r="D12" s="7" t="inlineStr">
        <is>
          <t>Resend cooldown (S3, 389b8a0)</t>
        </is>
      </c>
      <c r="E12" s="7" t="inlineStr">
        <is>
          <t>-</t>
        </is>
      </c>
      <c r="F12" s="7" t="inlineStr">
        <is>
          <t>1. Request OTP → button becomes 'Resend code (60s)' counting down
2. Try resending immediately via API</t>
        </is>
      </c>
      <c r="G12" s="7" t="inlineStr">
        <is>
          <t>Button disabled for 60s; server also refuses early resends (throttle)</t>
        </is>
      </c>
      <c r="H12" s="9" t="inlineStr"/>
      <c r="I12" s="7" t="inlineStr"/>
      <c r="J12" s="9" t="inlineStr"/>
      <c r="K12" s="7" t="inlineStr"/>
    </row>
    <row r="13">
      <c r="A13" s="4" t="inlineStr">
        <is>
          <t>1B. Live bug verifications (S2, Product 1f6be35)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6" t="inlineStr">
        <is>
          <t>TC-1B01</t>
        </is>
      </c>
      <c r="B14" s="7" t="inlineStr">
        <is>
          <t>Live bug verifications (S2, Product 1f6be35)</t>
        </is>
      </c>
      <c r="C14" s="8" t="inlineStr">
        <is>
          <t>P1</t>
        </is>
      </c>
      <c r="D14" s="7" t="inlineStr">
        <is>
          <t>Attendance derivation clean</t>
        </is>
      </c>
      <c r="E14" s="7" t="inlineStr">
        <is>
          <t>Live deployed for 1+ day</t>
        </is>
      </c>
      <c r="F14" s="7" t="inlineStr">
        <is>
          <t>1. Check laravel.log for 'lessThan() on string'
2. Open Attendance for previously-affected employees</t>
        </is>
      </c>
      <c r="G14" s="7" t="inlineStr">
        <is>
          <t>Zero new occurrences; attendance rows derive correctly (self-healed on next run)</t>
        </is>
      </c>
      <c r="H14" s="9" t="inlineStr"/>
      <c r="I14" s="7" t="inlineStr"/>
      <c r="J14" s="9" t="inlineStr"/>
      <c r="K14" s="7" t="inlineStr"/>
    </row>
    <row r="15">
      <c r="A15" s="6" t="inlineStr">
        <is>
          <t>TC-1B02</t>
        </is>
      </c>
      <c r="B15" s="7" t="inlineStr">
        <is>
          <t>Live bug verifications (S2, Product 1f6be35)</t>
        </is>
      </c>
      <c r="C15" s="8" t="inlineStr">
        <is>
          <t>P1</t>
        </is>
      </c>
      <c r="D15" s="7" t="inlineStr">
        <is>
          <t>Rules screen saves CLOSE and BLOCK on both types</t>
        </is>
      </c>
      <c r="E15" s="7" t="inlineStr">
        <is>
          <t>Admin login</t>
        </is>
      </c>
      <c r="F15" s="7" t="inlineStr">
        <is>
          <t>1. App &amp; Web Rules → set a website rule action = CLOSE → Save
2. Set an application rule action = BLOCK → Save</t>
        </is>
      </c>
      <c r="G15" s="7" t="inlineStr">
        <is>
          <t>Both save without error (previously 1265 'Data truncated' — ENUM strike four)</t>
        </is>
      </c>
      <c r="H15" s="9" t="inlineStr"/>
      <c r="I15" s="7" t="inlineStr"/>
      <c r="J15" s="9" t="inlineStr"/>
      <c r="K15" s="7" t="inlineStr"/>
    </row>
    <row r="16">
      <c r="A16" s="6" t="inlineStr">
        <is>
          <t>TC-1B03</t>
        </is>
      </c>
      <c r="B16" s="7" t="inlineStr">
        <is>
          <t>Live bug verifications (S2, Product 1f6be35)</t>
        </is>
      </c>
      <c r="C16" s="10" t="inlineStr">
        <is>
          <t>P2</t>
        </is>
      </c>
      <c r="D16" s="7" t="inlineStr">
        <is>
          <t>Archive restore works</t>
        </is>
      </c>
      <c r="E16" s="7" t="inlineStr">
        <is>
          <t>An archived (deleted) employee exists</t>
        </is>
      </c>
      <c r="F16" s="7" t="inlineStr">
        <is>
          <t>1. Employees → Archives → Restore</t>
        </is>
      </c>
      <c r="G16" s="7" t="inlineStr">
        <is>
          <t>Restore completes; no 'Undefined array key new_employee_code'</t>
        </is>
      </c>
      <c r="H16" s="9" t="inlineStr"/>
      <c r="I16" s="7" t="inlineStr"/>
      <c r="J16" s="9" t="inlineStr"/>
      <c r="K16" s="7" t="inlineStr"/>
    </row>
    <row r="17">
      <c r="A17" s="4" t="inlineStr">
        <is>
          <t>1C. SEO &amp; landing (S2, Central 4 commits)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</row>
    <row r="18">
      <c r="A18" s="6" t="inlineStr">
        <is>
          <t>TC-1C01</t>
        </is>
      </c>
      <c r="B18" s="7" t="inlineStr">
        <is>
          <t>SEO &amp; landing (S2, Central 4 commits)</t>
        </is>
      </c>
      <c r="C18" s="8" t="inlineStr">
        <is>
          <t>P1</t>
        </is>
      </c>
      <c r="D18" s="7" t="inlineStr">
        <is>
          <t>Sitemap is https-only allow-list</t>
        </is>
      </c>
      <c r="E18" s="7" t="inlineStr">
        <is>
          <t>Live Central deployed</t>
        </is>
      </c>
      <c r="F18" s="7" t="inlineStr">
        <is>
          <t>1. Open https://smartept.com/sitemap.xml</t>
        </is>
      </c>
      <c r="G18" s="7" t="inlineStr">
        <is>
          <t>Exactly 7 URLs, all https://smartept.com/... (/, contact, privacy, terms, refunds, security, system-requirements); no /buy, /pay, /client, /admin</t>
        </is>
      </c>
      <c r="H18" s="9" t="inlineStr"/>
      <c r="I18" s="7" t="inlineStr"/>
      <c r="J18" s="9" t="inlineStr"/>
      <c r="K18" s="7" t="inlineStr"/>
    </row>
    <row r="19">
      <c r="A19" s="6" t="inlineStr">
        <is>
          <t>TC-1C02</t>
        </is>
      </c>
      <c r="B19" s="7" t="inlineStr">
        <is>
          <t>SEO &amp; landing (S2, Central 4 commits)</t>
        </is>
      </c>
      <c r="C19" s="10" t="inlineStr">
        <is>
          <t>P2</t>
        </is>
      </c>
      <c r="D19" s="7" t="inlineStr">
        <is>
          <t>Canonicals + noindex headers</t>
        </is>
      </c>
      <c r="E19" s="7" t="inlineStr">
        <is>
          <t>-</t>
        </is>
      </c>
      <c r="F19" s="7" t="inlineStr">
        <is>
          <t>1. View source of / and /privacy → canonical tag
2. curl -I https://smartept.com/client/login and /buy</t>
        </is>
      </c>
      <c r="G19" s="7" t="inlineStr">
        <is>
          <t>Self-referencing https canonicals; workflow pages return X-Robots-Tag: noindex, follow</t>
        </is>
      </c>
      <c r="H19" s="9" t="inlineStr"/>
      <c r="I19" s="7" t="inlineStr"/>
      <c r="J19" s="9" t="inlineStr"/>
      <c r="K19" s="7" t="inlineStr"/>
    </row>
    <row r="20">
      <c r="A20" s="6" t="inlineStr">
        <is>
          <t>TC-1C03</t>
        </is>
      </c>
      <c r="B20" s="7" t="inlineStr">
        <is>
          <t>SEO &amp; landing (S2, Central 4 commits)</t>
        </is>
      </c>
      <c r="C20" s="8" t="inlineStr">
        <is>
          <t>P1</t>
        </is>
      </c>
      <c r="D20" s="7" t="inlineStr">
        <is>
          <t>GA4 flows on publish</t>
        </is>
      </c>
      <c r="E20" s="7" t="inlineStr">
        <is>
          <t>GA4 id saved in Landing Editor</t>
        </is>
      </c>
      <c r="F20" s="7" t="inlineStr">
        <is>
          <t>1. Landing Editor → Publish → make live
2. View source of /, /privacy, /buy</t>
        </is>
      </c>
      <c r="G20" s="7" t="inlineStr">
        <is>
          <t>Exactly ONE gtag install with the saved ID on each page; publishing twice never duplicates</t>
        </is>
      </c>
      <c r="H20" s="9" t="inlineStr"/>
      <c r="I20" s="7" t="inlineStr"/>
      <c r="J20" s="9" t="inlineStr"/>
      <c r="K20" s="7" t="inlineStr"/>
    </row>
    <row r="21">
      <c r="A21" s="6" t="inlineStr">
        <is>
          <t>TC-1C04</t>
        </is>
      </c>
      <c r="B21" s="7" t="inlineStr">
        <is>
          <t>SEO &amp; landing (S2, Central 4 commits)</t>
        </is>
      </c>
      <c r="C21" s="10" t="inlineStr">
        <is>
          <t>P2</t>
        </is>
      </c>
      <c r="D21" s="7" t="inlineStr">
        <is>
          <t>www redirects in one hop</t>
        </is>
      </c>
      <c r="E21" s="7" t="inlineStr">
        <is>
          <t>Manual Nginx step applied on VPS</t>
        </is>
      </c>
      <c r="F21" s="7" t="inlineStr">
        <is>
          <t>1. curl -I for http://www., https://www., http://smartept.com</t>
        </is>
      </c>
      <c r="G21" s="7" t="inlineStr">
        <is>
          <t>Each answers a SINGLE 301 to https://smartept.com/ (no chains, no 502)</t>
        </is>
      </c>
      <c r="H21" s="9" t="inlineStr"/>
      <c r="I21" s="7" t="inlineStr"/>
      <c r="J21" s="9" t="inlineStr"/>
      <c r="K21" s="7" t="inlineStr"/>
    </row>
    <row r="22">
      <c r="A22" s="4" t="inlineStr">
        <is>
          <t>1D. Branded URLs, licence auto-config &amp; agent fix (S3)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</row>
    <row r="23">
      <c r="A23" s="6" t="inlineStr">
        <is>
          <t>TC-1D01</t>
        </is>
      </c>
      <c r="B23" s="7" t="inlineStr">
        <is>
          <t>Branded URLs, licence auto-config &amp; agent fix (S3)</t>
        </is>
      </c>
      <c r="C23" s="8" t="inlineStr">
        <is>
          <t>P1</t>
        </is>
      </c>
      <c r="D23" s="7" t="inlineStr">
        <is>
          <t>Agent works on a branded URL</t>
        </is>
      </c>
      <c r="E23" s="7" t="inlineStr">
        <is>
          <t>Live product deployed</t>
        </is>
      </c>
      <c r="F23" s="7" t="inlineStr">
        <is>
          <t>1. Configure an agent with https://admin.smartept.com/khan
2. Sign in and sync</t>
        </is>
      </c>
      <c r="G23" s="7" t="inlineStr">
        <is>
          <t>Login + sync succeed — /khan/api/* 308-bounces to /api/* with method+body preserved</t>
        </is>
      </c>
      <c r="H23" s="9" t="inlineStr"/>
      <c r="I23" s="7" t="inlineStr"/>
      <c r="J23" s="9" t="inlineStr"/>
      <c r="K23" s="7" t="inlineStr"/>
    </row>
    <row r="24">
      <c r="A24" s="6" t="inlineStr">
        <is>
          <t>TC-1D02</t>
        </is>
      </c>
      <c r="B24" s="7" t="inlineStr">
        <is>
          <t>Branded URLs, licence auto-config &amp; agent fix (S3)</t>
        </is>
      </c>
      <c r="C24" s="8" t="inlineStr">
        <is>
          <t>P1</t>
        </is>
      </c>
      <c r="D24" s="7" t="inlineStr">
        <is>
          <t>Licence validates with NO .env URL</t>
        </is>
      </c>
      <c r="E24" s="7" t="inlineStr">
        <is>
          <t>Product server without SMARTEPT_LICENSE_URL</t>
        </is>
      </c>
      <c r="F24" s="7" t="inlineStr">
        <is>
          <t>1. Licence screen → Validate now</t>
        </is>
      </c>
      <c r="G24" s="7" t="inlineStr">
        <is>
          <t>Phones https://smartept.com (Setting pushed by Central, else default) — no 'Central URL not configured' error</t>
        </is>
      </c>
      <c r="H24" s="9" t="inlineStr"/>
      <c r="I24" s="7" t="inlineStr"/>
      <c r="J24" s="9" t="inlineStr"/>
      <c r="K24" s="7" t="inlineStr"/>
    </row>
    <row r="25">
      <c r="A25" s="6" t="inlineStr">
        <is>
          <t>TC-1D03</t>
        </is>
      </c>
      <c r="B25" s="7" t="inlineStr">
        <is>
          <t>Branded URLs, licence auto-config &amp; agent fix (S3)</t>
        </is>
      </c>
      <c r="C25" s="8" t="inlineStr">
        <is>
          <t>P1</t>
        </is>
      </c>
      <c r="D25" s="7" t="inlineStr">
        <is>
          <t>Cross-company device re-registration (agent-500 fix)</t>
        </is>
      </c>
      <c r="E25" s="7" t="inlineStr">
        <is>
          <t>A PC previously registered under company A</t>
        </is>
      </c>
      <c r="F25" s="7" t="inlineStr">
        <is>
          <t>1. Sign the agent in as an employee of company B on the same PC</t>
        </is>
      </c>
      <c r="G25" s="7" t="inlineStr">
        <is>
          <t>Registration succeeds (no HTTP 500 / duplicate-key); device re-points to B; audit DEVICE_COMPANY_REASSIGNED; old company-A token dead (401)</t>
        </is>
      </c>
      <c r="H25" s="9" t="inlineStr"/>
      <c r="I25" s="7" t="inlineStr"/>
      <c r="J25" s="9" t="inlineStr"/>
      <c r="K25" s="7" t="inlineStr"/>
    </row>
    <row r="26">
      <c r="A26" s="6" t="inlineStr">
        <is>
          <t>TC-1D04</t>
        </is>
      </c>
      <c r="B26" s="7" t="inlineStr">
        <is>
          <t>Branded URLs, licence auto-config &amp; agent fix (S3)</t>
        </is>
      </c>
      <c r="C26" s="10" t="inlineStr">
        <is>
          <t>P2</t>
        </is>
      </c>
      <c r="D26" s="7" t="inlineStr">
        <is>
          <t>Payment History ledger (Central a055ed3)</t>
        </is>
      </c>
      <c r="E26" s="7" t="inlineStr">
        <is>
          <t>Client with partial payments</t>
        </is>
      </c>
      <c r="F26" s="7" t="inlineStr">
        <is>
          <t>1. Central → client modal → Payment History</t>
        </is>
      </c>
      <c r="G26" s="7" t="inlineStr">
        <is>
          <t>Every payment row with method/reference + 'Total received' matching the ledger</t>
        </is>
      </c>
      <c r="H26" s="9" t="inlineStr"/>
      <c r="I26" s="7" t="inlineStr"/>
      <c r="J26" s="9" t="inlineStr"/>
      <c r="K26" s="7" t="inlineStr"/>
    </row>
    <row r="27">
      <c r="A27" s="4" t="inlineStr">
        <is>
          <t>1E. Money spot-checks (S1 pricing — regression guard)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</row>
    <row r="28">
      <c r="A28" s="6" t="inlineStr">
        <is>
          <t>TC-1E01</t>
        </is>
      </c>
      <c r="B28" s="7" t="inlineStr">
        <is>
          <t>Money spot-checks (S1 pricing — regression guard)</t>
        </is>
      </c>
      <c r="C28" s="8" t="inlineStr">
        <is>
          <t>P1</t>
        </is>
      </c>
      <c r="D28" s="7" t="inlineStr">
        <is>
          <t>Progressive lifetime price on /buy</t>
        </is>
      </c>
      <c r="E28" s="7" t="inlineStr">
        <is>
          <t>Live bands (e.g. 15→₹15,000, 30→₹25,000)</t>
        </is>
      </c>
      <c r="F28" s="7" t="inlineStr">
        <is>
          <t>1. /buy → On-Premise → 15, 22, 30 users</t>
        </is>
      </c>
      <c r="G28" s="7" t="inlineStr">
        <is>
          <t>15=₹15,000; 30=₹25,000; 22 = interpolated between (~₹19,667 for the example bands); above last band = Custom Quote, never ₹0</t>
        </is>
      </c>
      <c r="H28" s="9" t="inlineStr"/>
      <c r="I28" s="7" t="inlineStr"/>
      <c r="J28" s="9" t="inlineStr"/>
      <c r="K28" s="7" t="inlineStr"/>
    </row>
    <row r="29">
      <c r="A29" s="6" t="inlineStr">
        <is>
          <t>TC-1E02</t>
        </is>
      </c>
      <c r="B29" s="7" t="inlineStr">
        <is>
          <t>Money spot-checks (S1 pricing — regression guard)</t>
        </is>
      </c>
      <c r="C29" s="10" t="inlineStr">
        <is>
          <t>P2</t>
        </is>
      </c>
      <c r="D29" s="7" t="inlineStr">
        <is>
          <t>Admin delete guards (73888fc)</t>
        </is>
      </c>
      <c r="E29" s="7" t="inlineStr">
        <is>
          <t>Super login; one paid order, one clean quote</t>
        </is>
      </c>
      <c r="F29" s="7" t="inlineStr">
        <is>
          <t>1. Try Delete on the PAID order
2. Delete the clean quote</t>
        </is>
      </c>
      <c r="G29" s="7" t="inlineStr">
        <is>
          <t>Paid/money-bearing order: NO delete offered; clean quote deletes with confirmation; audit entries written</t>
        </is>
      </c>
      <c r="H29" s="9" t="inlineStr"/>
      <c r="I29" s="7" t="inlineStr"/>
      <c r="J29" s="9" t="inlineStr"/>
      <c r="K29" s="7" t="inlineStr"/>
    </row>
    <row r="30">
      <c r="A30" s="4" t="inlineStr">
        <is>
          <t>1F. Test-system health (S5 — run by a developer)</t>
        </is>
      </c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</row>
    <row r="31">
      <c r="A31" s="6" t="inlineStr">
        <is>
          <t>TC-1F01</t>
        </is>
      </c>
      <c r="B31" s="7" t="inlineStr">
        <is>
          <t>Test-system health (S5 — run by a developer)</t>
        </is>
      </c>
      <c r="C31" s="8" t="inlineStr">
        <is>
          <t>P1</t>
        </is>
      </c>
      <c r="D31" s="7" t="inlineStr">
        <is>
          <t>Product full suite green</t>
        </is>
      </c>
      <c r="E31" s="7" t="inlineStr">
        <is>
          <t>Repo at da11247+</t>
        </is>
      </c>
      <c r="F31" s="7" t="inlineStr">
        <is>
          <t>1. cd C:\laragon\www\smartept &amp;&amp; php artisan test</t>
        </is>
      </c>
      <c r="G31" s="7" t="inlineStr">
        <is>
          <t>0 failures (first healthy state since 19-Jul)</t>
        </is>
      </c>
      <c r="H31" s="9" t="inlineStr"/>
      <c r="I31" s="7" t="inlineStr"/>
      <c r="J31" s="9" t="inlineStr"/>
      <c r="K31" s="7" t="inlineStr"/>
    </row>
    <row r="32">
      <c r="A32" s="6" t="inlineStr">
        <is>
          <t>TC-1F02</t>
        </is>
      </c>
      <c r="B32" s="7" t="inlineStr">
        <is>
          <t>Test-system health (S5 — run by a developer)</t>
        </is>
      </c>
      <c r="C32" s="8" t="inlineStr">
        <is>
          <t>P1</t>
        </is>
      </c>
      <c r="D32" s="7" t="inlineStr">
        <is>
          <t>Central full suite green</t>
        </is>
      </c>
      <c r="E32" s="7" t="inlineStr">
        <is>
          <t>Repo at d28b56c+</t>
        </is>
      </c>
      <c r="F32" s="7" t="inlineStr">
        <is>
          <t>1. cd C:\laragon\www\smartept-central &amp;&amp; php artisan test</t>
        </is>
      </c>
      <c r="G32" s="7" t="inlineStr">
        <is>
          <t>56 passed / 342 assertions, 0 failures</t>
        </is>
      </c>
      <c r="H32" s="9" t="inlineStr"/>
      <c r="I32" s="7" t="inlineStr"/>
      <c r="J32" s="9" t="inlineStr"/>
      <c r="K32" s="7" t="inlineStr"/>
    </row>
    <row r="33">
      <c r="A33" s="6" t="inlineStr">
        <is>
          <t>TC-1F03</t>
        </is>
      </c>
      <c r="B33" s="7" t="inlineStr">
        <is>
          <t>Test-system health (S5 — run by a developer)</t>
        </is>
      </c>
      <c r="C33" s="10" t="inlineStr">
        <is>
          <t>P2</t>
        </is>
      </c>
      <c r="D33" s="7" t="inlineStr">
        <is>
          <t>Provision endpoint tolerates omitted optional fields (2ca7dec)</t>
        </is>
      </c>
      <c r="E33" s="7" t="inlineStr">
        <is>
          <t>Provisioning secret known (test env only)</t>
        </is>
      </c>
      <c r="F33" s="7" t="inlineStr">
        <is>
          <t>1. POST /api/provision with only external_tenant_id, company_name, admin_email</t>
        </is>
      </c>
      <c r="G33" s="7" t="inlineStr">
        <is>
          <t>201 — no 500 'Undefined array key timezone'</t>
        </is>
      </c>
      <c r="H33" s="9" t="inlineStr"/>
      <c r="I33" s="7" t="inlineStr"/>
      <c r="J33" s="9" t="inlineStr"/>
      <c r="K33" s="7" t="inlineStr"/>
    </row>
    <row r="34">
      <c r="A34" s="4" t="inlineStr">
        <is>
          <t>2A. Migration &amp; data move — per-tenant licensing (S4)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</row>
    <row r="35">
      <c r="A35" s="6" t="inlineStr">
        <is>
          <t>TC-2A01</t>
        </is>
      </c>
      <c r="B35" s="7" t="inlineStr">
        <is>
          <t>Migration &amp; data move — per-tenant licensing (S4)</t>
        </is>
      </c>
      <c r="C35" s="8" t="inlineStr">
        <is>
          <t>P1</t>
        </is>
      </c>
      <c r="D35" s="7" t="inlineStr">
        <is>
          <t>Migration adds company_id and unique index cleanly</t>
        </is>
      </c>
      <c r="E35" s="7" t="inlineStr">
        <is>
          <t>Product repo at 1fcb7f7; DB backed up</t>
        </is>
      </c>
      <c r="F35" s="7" t="inlineStr">
        <is>
          <t>1. php artisan migrate
2. DESCRIBE installation_licenses</t>
        </is>
      </c>
      <c r="G35" s="7" t="inlineStr">
        <is>
          <t>Migration 2026_08_12_000400 runs without error; company_id column nullable BIGINT with UNIQUE index; no data lost</t>
        </is>
      </c>
      <c r="H35" s="9" t="inlineStr"/>
      <c r="I35" s="7" t="inlineStr"/>
      <c r="J35" s="9" t="inlineStr"/>
      <c r="K35" s="7" t="inlineStr"/>
    </row>
    <row r="36">
      <c r="A36" s="6" t="inlineStr">
        <is>
          <t>TC-2A02</t>
        </is>
      </c>
      <c r="B36" s="7" t="inlineStr">
        <is>
          <t>Migration &amp; data move — per-tenant licensing (S4)</t>
        </is>
      </c>
      <c r="C36" s="8" t="inlineStr">
        <is>
          <t>P1</t>
        </is>
      </c>
      <c r="D36" s="7" t="inlineStr">
        <is>
          <t>Khan key auto-moves to Khan's tenant row</t>
        </is>
      </c>
      <c r="E36" s="7" t="inlineStr">
        <is>
          <t>Install slot holds Khan's key; exactly one AMETECS_SAAS company named 'Khan Incorporation'</t>
        </is>
      </c>
      <c r="F36" s="7" t="inlineStr">
        <is>
          <t>1. Run migration
2. SELECT company_id, license_key FROM installation_licenses</t>
        </is>
      </c>
      <c r="G36" s="7" t="inlineStr">
        <is>
          <t>The existing row's company_id = Khan's company id; key, bundle, status preserved; no second row created</t>
        </is>
      </c>
      <c r="H36" s="9" t="inlineStr"/>
      <c r="I36" s="7" t="inlineStr"/>
      <c r="J36" s="9" t="inlineStr"/>
      <c r="K36" s="7" t="inlineStr"/>
    </row>
    <row r="37">
      <c r="A37" s="6" t="inlineStr">
        <is>
          <t>TC-2A03</t>
        </is>
      </c>
      <c r="B37" s="7" t="inlineStr">
        <is>
          <t>Migration &amp; data move — per-tenant licensing (S4)</t>
        </is>
      </c>
      <c r="C37" s="10" t="inlineStr">
        <is>
          <t>P2</t>
        </is>
      </c>
      <c r="D37" s="7" t="inlineStr">
        <is>
          <t>No-match safety (client-hosted shape)</t>
        </is>
      </c>
      <c r="E37" s="7" t="inlineStr">
        <is>
          <t>DB where bundle company name matches no AMETECS_SAAS company</t>
        </is>
      </c>
      <c r="F37" s="7" t="inlineStr">
        <is>
          <t>1. Run migration on such a DB (e.g. local seeded)</t>
        </is>
      </c>
      <c r="G37" s="7" t="inlineStr">
        <is>
          <t>Nothing moves: the licensed row keeps company_id NULL; behaviour identical to before</t>
        </is>
      </c>
      <c r="H37" s="9" t="inlineStr"/>
      <c r="I37" s="7" t="inlineStr"/>
      <c r="J37" s="9" t="inlineStr"/>
      <c r="K37" s="7" t="inlineStr"/>
    </row>
    <row r="38">
      <c r="A38" s="6" t="inlineStr">
        <is>
          <t>TC-2A04</t>
        </is>
      </c>
      <c r="B38" s="7" t="inlineStr">
        <is>
          <t>Migration &amp; data move — per-tenant licensing (S4)</t>
        </is>
      </c>
      <c r="C38" s="10" t="inlineStr">
        <is>
          <t>P2</t>
        </is>
      </c>
      <c r="D38" s="7" t="inlineStr">
        <is>
          <t>Ambiguity safety — two same-name SaaS companies</t>
        </is>
      </c>
      <c r="E38" s="7" t="inlineStr">
        <is>
          <t>Two AMETECS_SAAS companies with identical name; install slot keyed</t>
        </is>
      </c>
      <c r="F38" s="7" t="inlineStr">
        <is>
          <t>1. Run migration</t>
        </is>
      </c>
      <c r="G38" s="7" t="inlineStr">
        <is>
          <t>Move is skipped entirely (count != 1); no data changed</t>
        </is>
      </c>
      <c r="H38" s="9" t="inlineStr"/>
      <c r="I38" s="7" t="inlineStr"/>
      <c r="J38" s="9" t="inlineStr"/>
      <c r="K38" s="7" t="inlineStr"/>
    </row>
    <row r="39">
      <c r="A39" s="6" t="inlineStr">
        <is>
          <t>TC-2A05</t>
        </is>
      </c>
      <c r="B39" s="7" t="inlineStr">
        <is>
          <t>Migration &amp; data move — per-tenant licensing (S4)</t>
        </is>
      </c>
      <c r="C39" s="6" t="inlineStr">
        <is>
          <t>P3</t>
        </is>
      </c>
      <c r="D39" s="7" t="inlineStr">
        <is>
          <t>Migration down() reverses cleanly</t>
        </is>
      </c>
      <c r="E39" s="7" t="inlineStr">
        <is>
          <t>Migration applied</t>
        </is>
      </c>
      <c r="F39" s="7" t="inlineStr">
        <is>
          <t>1. php artisan migrate:rollback --step=1</t>
        </is>
      </c>
      <c r="G39" s="7" t="inlineStr">
        <is>
          <t>Unique index and company_id column dropped; table intact</t>
        </is>
      </c>
      <c r="H39" s="9" t="inlineStr"/>
      <c r="I39" s="7" t="inlineStr"/>
      <c r="J39" s="9" t="inlineStr"/>
      <c r="K39" s="7" t="inlineStr"/>
    </row>
    <row r="40">
      <c r="A40" s="6" t="inlineStr">
        <is>
          <t>TC-2A06</t>
        </is>
      </c>
      <c r="B40" s="7" t="inlineStr">
        <is>
          <t>Migration &amp; data move — per-tenant licensing (S4)</t>
        </is>
      </c>
      <c r="C40" s="8" t="inlineStr">
        <is>
          <t>P1</t>
        </is>
      </c>
      <c r="D40" s="7" t="inlineStr">
        <is>
          <t>Fresh install slot after key move</t>
        </is>
      </c>
      <c r="E40" s="7" t="inlineStr">
        <is>
          <t>Migration moved the key (Khan case)</t>
        </is>
      </c>
      <c r="F40" s="7" t="inlineStr">
        <is>
          <t>1. Open Licence screen as Super Admin
2. Check evaluation end date</t>
        </is>
      </c>
      <c r="G40" s="7" t="inlineStr">
        <is>
          <t>A fresh empty install row exists (created on first access); shows EVALUATION with 7 days from creation; agents of non-SaaS companies keep working during window</t>
        </is>
      </c>
      <c r="H40" s="9" t="inlineStr"/>
      <c r="I40" s="7" t="inlineStr"/>
      <c r="J40" s="9" t="inlineStr"/>
      <c r="K40" s="7" t="inlineStr"/>
    </row>
    <row r="41">
      <c r="A41" s="4" t="inlineStr">
        <is>
          <t>2B. Licence resolution model — per-tenant licensing (S4)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>
      <c r="A42" s="6" t="inlineStr">
        <is>
          <t>TC-2B01</t>
        </is>
      </c>
      <c r="B42" s="7" t="inlineStr">
        <is>
          <t>Licence resolution model — per-tenant licensing (S4)</t>
        </is>
      </c>
      <c r="C42" s="8" t="inlineStr">
        <is>
          <t>P1</t>
        </is>
      </c>
      <c r="D42" s="7" t="inlineStr">
        <is>
          <t>AMETECS_SAAS company governed by own row</t>
        </is>
      </c>
      <c r="E42" s="7" t="inlineStr">
        <is>
          <t>SaaS company exists</t>
        </is>
      </c>
      <c r="F42" s="7" t="inlineStr">
        <is>
          <t>1. tinker: InstallationLicense::governing($saasCompany)</t>
        </is>
      </c>
      <c r="G42" s="7" t="inlineStr">
        <is>
          <t>Returns row with company_id = that company; creates it empty on first call</t>
        </is>
      </c>
      <c r="H42" s="9" t="inlineStr"/>
      <c r="I42" s="7" t="inlineStr"/>
      <c r="J42" s="9" t="inlineStr"/>
      <c r="K42" s="7" t="inlineStr"/>
    </row>
    <row r="43">
      <c r="A43" s="6" t="inlineStr">
        <is>
          <t>TC-2B02</t>
        </is>
      </c>
      <c r="B43" s="7" t="inlineStr">
        <is>
          <t>Licence resolution model — per-tenant licensing (S4)</t>
        </is>
      </c>
      <c r="C43" s="8" t="inlineStr">
        <is>
          <t>P1</t>
        </is>
      </c>
      <c r="D43" s="7" t="inlineStr">
        <is>
          <t>Non-SaaS company governed by install row</t>
        </is>
      </c>
      <c r="E43" s="7" t="inlineStr">
        <is>
          <t>Company with deployment_model LAN/PRIVATE_CLOUD/HYBRID/null</t>
        </is>
      </c>
      <c r="F43" s="7" t="inlineStr">
        <is>
          <t>1. tinker: InstallationLicense::governing($company)</t>
        </is>
      </c>
      <c r="G43" s="7" t="inlineStr">
        <is>
          <t>Returns the install-level row (company_id NULL) — pre-existing behaviour</t>
        </is>
      </c>
      <c r="H43" s="9" t="inlineStr"/>
      <c r="I43" s="7" t="inlineStr"/>
      <c r="J43" s="9" t="inlineStr"/>
      <c r="K43" s="7" t="inlineStr"/>
    </row>
    <row r="44">
      <c r="A44" s="6" t="inlineStr">
        <is>
          <t>TC-2B03</t>
        </is>
      </c>
      <c r="B44" s="7" t="inlineStr">
        <is>
          <t>Licence resolution model — per-tenant licensing (S4)</t>
        </is>
      </c>
      <c r="C44" s="10" t="inlineStr">
        <is>
          <t>P2</t>
        </is>
      </c>
      <c r="D44" s="7" t="inlineStr">
        <is>
          <t>Null company (operator context) → install row</t>
        </is>
      </c>
      <c r="E44" s="7" t="inlineStr">
        <is>
          <t>-</t>
        </is>
      </c>
      <c r="F44" s="7" t="inlineStr">
        <is>
          <t>1. tinker: InstallationLicense::governing(null)</t>
        </is>
      </c>
      <c r="G44" s="7" t="inlineStr">
        <is>
          <t>Returns install-level row</t>
        </is>
      </c>
      <c r="H44" s="9" t="inlineStr"/>
      <c r="I44" s="7" t="inlineStr"/>
      <c r="J44" s="9" t="inlineStr"/>
      <c r="K44" s="7" t="inlineStr"/>
    </row>
    <row r="45">
      <c r="A45" s="6" t="inlineStr">
        <is>
          <t>TC-2B04</t>
        </is>
      </c>
      <c r="B45" s="7" t="inlineStr">
        <is>
          <t>Licence resolution model — per-tenant licensing (S4)</t>
        </is>
      </c>
      <c r="C45" s="10" t="inlineStr">
        <is>
          <t>P2</t>
        </is>
      </c>
      <c r="D45" s="7" t="inlineStr">
        <is>
          <t>forCompany is idempotent</t>
        </is>
      </c>
      <c r="E45" s="7" t="inlineStr">
        <is>
          <t>SaaS company</t>
        </is>
      </c>
      <c r="F45" s="7" t="inlineStr">
        <is>
          <t>1. Call InstallationLicense::forCompany($id) twice</t>
        </is>
      </c>
      <c r="G45" s="7" t="inlineStr">
        <is>
          <t>Same row id both times; created_at unchanged (evaluation clock stable)</t>
        </is>
      </c>
      <c r="H45" s="9" t="inlineStr"/>
      <c r="I45" s="7" t="inlineStr"/>
      <c r="J45" s="9" t="inlineStr"/>
      <c r="K45" s="7" t="inlineStr"/>
    </row>
    <row r="46">
      <c r="A46" s="6" t="inlineStr">
        <is>
          <t>TC-2B05</t>
        </is>
      </c>
      <c r="B46" s="7" t="inlineStr">
        <is>
          <t>Licence resolution model — per-tenant licensing (S4)</t>
        </is>
      </c>
      <c r="C46" s="10" t="inlineStr">
        <is>
          <t>P2</t>
        </is>
      </c>
      <c r="D46" s="7" t="inlineStr">
        <is>
          <t>Unique index blocks duplicate tenant rows</t>
        </is>
      </c>
      <c r="E46" s="7" t="inlineStr">
        <is>
          <t>Tenant row exists</t>
        </is>
      </c>
      <c r="F46" s="7" t="inlineStr">
        <is>
          <t>1. Attempt raw INSERT with same company_id</t>
        </is>
      </c>
      <c r="G46" s="7" t="inlineStr">
        <is>
          <t>MySQL rejects with duplicate-key error; app never creates duplicates (firstOrCreate)</t>
        </is>
      </c>
      <c r="H46" s="9" t="inlineStr"/>
      <c r="I46" s="7" t="inlineStr"/>
      <c r="J46" s="9" t="inlineStr"/>
      <c r="K46" s="7" t="inlineStr"/>
    </row>
    <row r="47">
      <c r="A47" s="6" t="inlineStr">
        <is>
          <t>TC-2B06</t>
        </is>
      </c>
      <c r="B47" s="7" t="inlineStr">
        <is>
          <t>Licence resolution model — per-tenant licensing (S4)</t>
        </is>
      </c>
      <c r="C47" s="6" t="inlineStr">
        <is>
          <t>P3</t>
        </is>
      </c>
      <c r="D47" s="7" t="inlineStr">
        <is>
          <t>current() ignores tenant rows</t>
        </is>
      </c>
      <c r="E47" s="7" t="inlineStr">
        <is>
          <t>Tenant rows exist</t>
        </is>
      </c>
      <c r="F47" s="7" t="inlineStr">
        <is>
          <t>1. tinker: InstallationLicense::current()</t>
        </is>
      </c>
      <c r="G47" s="7" t="inlineStr">
        <is>
          <t>Returns only the company_id-NULL row, never a tenant's</t>
        </is>
      </c>
      <c r="H47" s="9" t="inlineStr"/>
      <c r="I47" s="7" t="inlineStr"/>
      <c r="J47" s="9" t="inlineStr"/>
      <c r="K47" s="7" t="inlineStr"/>
    </row>
    <row r="48">
      <c r="A48" s="4" t="inlineStr">
        <is>
          <t>2C. Licence screen by role — per-tenant licensing (S4)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>
      <c r="A49" s="6" t="inlineStr">
        <is>
          <t>TC-2C01</t>
        </is>
      </c>
      <c r="B49" s="7" t="inlineStr">
        <is>
          <t>Licence screen by role — per-tenant licensing (S4)</t>
        </is>
      </c>
      <c r="C49" s="8" t="inlineStr">
        <is>
          <t>P1</t>
        </is>
      </c>
      <c r="D49" s="7" t="inlineStr">
        <is>
          <t>Cloud tenant admin sees own licence with scope line</t>
        </is>
      </c>
      <c r="E49" s="7" t="inlineStr">
        <is>
          <t>Khan admin login (via /khan or /admin console)</t>
        </is>
      </c>
      <c r="F49" s="7" t="inlineStr">
        <is>
          <t>1. Sign in as Khan COMPANY_ADMIN
2. Open Licence</t>
        </is>
      </c>
      <c r="G49" s="7" t="inlineStr">
        <is>
          <t>Scope row: 'This licence belongs to Khan Incorporation — issued and managed by SmartEPT Central'; Khan's masked key, plan, seats, expiry shown</t>
        </is>
      </c>
      <c r="H49" s="9" t="inlineStr"/>
      <c r="I49" s="7" t="inlineStr"/>
      <c r="J49" s="9" t="inlineStr"/>
      <c r="K49" s="7" t="inlineStr"/>
    </row>
    <row r="50">
      <c r="A50" s="6" t="inlineStr">
        <is>
          <t>TC-2C02</t>
        </is>
      </c>
      <c r="B50" s="7" t="inlineStr">
        <is>
          <t>Licence screen by role — per-tenant licensing (S4)</t>
        </is>
      </c>
      <c r="C50" s="8" t="inlineStr">
        <is>
          <t>P1</t>
        </is>
      </c>
      <c r="D50" s="7" t="inlineStr">
        <is>
          <t>Tenant admin Save &amp; validate writes own row only</t>
        </is>
      </c>
      <c r="E50" s="7" t="inlineStr">
        <is>
          <t>Khan admin; valid key from Central</t>
        </is>
      </c>
      <c r="F50" s="7" t="inlineStr">
        <is>
          <t>1. Paste key, Save &amp; validate
2. Check installation_licenses</t>
        </is>
      </c>
      <c r="G50" s="7" t="inlineStr">
        <is>
          <t>Key stored on Khan's row (company_id set); install slot untouched; status ACTIVE after validation</t>
        </is>
      </c>
      <c r="H50" s="9" t="inlineStr"/>
      <c r="I50" s="7" t="inlineStr"/>
      <c r="J50" s="9" t="inlineStr"/>
      <c r="K50" s="7" t="inlineStr"/>
    </row>
    <row r="51">
      <c r="A51" s="6" t="inlineStr">
        <is>
          <t>TC-2C03</t>
        </is>
      </c>
      <c r="B51" s="7" t="inlineStr">
        <is>
          <t>Licence screen by role — per-tenant licensing (S4)</t>
        </is>
      </c>
      <c r="C51" s="10" t="inlineStr">
        <is>
          <t>P2</t>
        </is>
      </c>
      <c r="D51" s="7" t="inlineStr">
        <is>
          <t>Tenant admin Validate now phones Central for own key</t>
        </is>
      </c>
      <c r="E51" s="7" t="inlineStr">
        <is>
          <t>Khan row configured</t>
        </is>
      </c>
      <c r="F51" s="7" t="inlineStr">
        <is>
          <t>1. Click Validate now
2. Check last_checked_at on both rows</t>
        </is>
      </c>
      <c r="G51" s="7" t="inlineStr">
        <is>
          <t>Khan row refreshed; install row last_checked_at unchanged</t>
        </is>
      </c>
      <c r="H51" s="9" t="inlineStr"/>
      <c r="I51" s="7" t="inlineStr"/>
      <c r="J51" s="9" t="inlineStr"/>
      <c r="K51" s="7" t="inlineStr"/>
    </row>
    <row r="52">
      <c r="A52" s="6" t="inlineStr">
        <is>
          <t>TC-2C04</t>
        </is>
      </c>
      <c r="B52" s="7" t="inlineStr">
        <is>
          <t>Licence screen by role — per-tenant licensing (S4)</t>
        </is>
      </c>
      <c r="C52" s="10" t="inlineStr">
        <is>
          <t>P2</t>
        </is>
      </c>
      <c r="D52" s="7" t="inlineStr">
        <is>
          <t>Offline licence card hidden for cloud tenant admin</t>
        </is>
      </c>
      <c r="E52" s="7" t="inlineStr">
        <is>
          <t>Khan admin on Licence screen</t>
        </is>
      </c>
      <c r="F52" s="7" t="inlineStr">
        <is>
          <t>1. Inspect page</t>
        </is>
      </c>
      <c r="G52" s="7" t="inlineStr">
        <is>
          <t>'Offline licence file' card not visible; fingerprint/import controls absent</t>
        </is>
      </c>
      <c r="H52" s="9" t="inlineStr"/>
      <c r="I52" s="7" t="inlineStr"/>
      <c r="J52" s="9" t="inlineStr"/>
      <c r="K52" s="7" t="inlineStr"/>
    </row>
    <row r="53">
      <c r="A53" s="6" t="inlineStr">
        <is>
          <t>TC-2C05</t>
        </is>
      </c>
      <c r="B53" s="7" t="inlineStr">
        <is>
          <t>Licence screen by role — per-tenant licensing (S4)</t>
        </is>
      </c>
      <c r="C53" s="8" t="inlineStr">
        <is>
          <t>P1</t>
        </is>
      </c>
      <c r="D53" s="7" t="inlineStr">
        <is>
          <t>Offline .lic import API blocked for tenant scope</t>
        </is>
      </c>
      <c r="E53" s="7" t="inlineStr">
        <is>
          <t>Khan admin token</t>
        </is>
      </c>
      <c r="F53" s="7" t="inlineStr">
        <is>
          <t>1. POST /api/license/import with any token</t>
        </is>
      </c>
      <c r="G53" s="7" t="inlineStr">
        <is>
          <t>HTTP 403: 'Offline licence files apply to self-hosted servers…' message; no state change</t>
        </is>
      </c>
      <c r="H53" s="9" t="inlineStr"/>
      <c r="I53" s="7" t="inlineStr"/>
      <c r="J53" s="9" t="inlineStr"/>
      <c r="K53" s="7" t="inlineStr"/>
    </row>
    <row r="54">
      <c r="A54" s="6" t="inlineStr">
        <is>
          <t>TC-2C06</t>
        </is>
      </c>
      <c r="B54" s="7" t="inlineStr">
        <is>
          <t>Licence screen by role — per-tenant licensing (S4)</t>
        </is>
      </c>
      <c r="C54" s="10" t="inlineStr">
        <is>
          <t>P2</t>
        </is>
      </c>
      <c r="D54" s="7" t="inlineStr">
        <is>
          <t>Super Admin licence screen shows install slot + pointer</t>
        </is>
      </c>
      <c r="E54" s="7" t="inlineStr">
        <is>
          <t>super@smartept.io</t>
        </is>
      </c>
      <c r="F54" s="7" t="inlineStr">
        <is>
          <t>1. Open Licence</t>
        </is>
      </c>
      <c r="G54" s="7" t="inlineStr">
        <is>
          <t>Install-level licence (or EVALUATION) shown; note 'Cloud tenants on this install carry their own licences — see the Tenants screen'</t>
        </is>
      </c>
      <c r="H54" s="9" t="inlineStr"/>
      <c r="I54" s="7" t="inlineStr"/>
      <c r="J54" s="9" t="inlineStr"/>
      <c r="K54" s="7" t="inlineStr"/>
    </row>
    <row r="55">
      <c r="A55" s="6" t="inlineStr">
        <is>
          <t>TC-2C07</t>
        </is>
      </c>
      <c r="B55" s="7" t="inlineStr">
        <is>
          <t>Licence screen by role — per-tenant licensing (S4)</t>
        </is>
      </c>
      <c r="C55" s="8" t="inlineStr">
        <is>
          <t>P1</t>
        </is>
      </c>
      <c r="D55" s="7" t="inlineStr">
        <is>
          <t>Client-hosted admin behaviour unchanged (regression)</t>
        </is>
      </c>
      <c r="E55" s="7" t="inlineStr">
        <is>
          <t>Local seeded install (LAN company); admin@ametecs.io</t>
        </is>
      </c>
      <c r="F55" s="7" t="inlineStr">
        <is>
          <t>1. Open Licence; save key; validate; import .lic</t>
        </is>
      </c>
      <c r="G55" s="7" t="inlineStr">
        <is>
          <t>Identical to pre-change behaviour: install slot used, offline card visible and functional</t>
        </is>
      </c>
      <c r="H55" s="9" t="inlineStr"/>
      <c r="I55" s="7" t="inlineStr"/>
      <c r="J55" s="9" t="inlineStr"/>
      <c r="K55" s="7" t="inlineStr"/>
    </row>
    <row r="56">
      <c r="A56" s="6" t="inlineStr">
        <is>
          <t>TC-2C08</t>
        </is>
      </c>
      <c r="B56" s="7" t="inlineStr">
        <is>
          <t>Licence screen by role — per-tenant licensing (S4)</t>
        </is>
      </c>
      <c r="C56" s="10" t="inlineStr">
        <is>
          <t>P2</t>
        </is>
      </c>
      <c r="D56" s="7" t="inlineStr">
        <is>
          <t>Device seats counted per scope</t>
        </is>
      </c>
      <c r="E56" s="7" t="inlineStr">
        <is>
          <t>Khan row active with devices; other companies have devices too</t>
        </is>
      </c>
      <c r="F56" s="7" t="inlineStr">
        <is>
          <t>1. Khan admin Licence screen: seats line
2. Super admin Licence screen: seats line</t>
        </is>
      </c>
      <c r="G56" s="7" t="inlineStr">
        <is>
          <t>Khan sees only Khan devices registered; install scope counts all devices on the box</t>
        </is>
      </c>
      <c r="H56" s="9" t="inlineStr"/>
      <c r="I56" s="7" t="inlineStr"/>
      <c r="J56" s="9" t="inlineStr"/>
      <c r="K56" s="7" t="inlineStr"/>
    </row>
    <row r="57">
      <c r="A57" s="4" t="inlineStr">
        <is>
          <t>2D. Provisioning key delivery (Central → Product) — per-tenant licensing (S4)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>
      <c r="A58" s="6" t="inlineStr">
        <is>
          <t>TC-2D01</t>
        </is>
      </c>
      <c r="B58" s="7" t="inlineStr">
        <is>
          <t>Provisioning key delivery (Central → Product) — per-tenant licensing (S4)</t>
        </is>
      </c>
      <c r="C58" s="8" t="inlineStr">
        <is>
          <t>P1</t>
        </is>
      </c>
      <c r="D58" s="7" t="inlineStr">
        <is>
          <t>New cloud tenant fully licensed hands-free</t>
        </is>
      </c>
      <c r="E58" s="7" t="inlineStr">
        <is>
          <t>Central 76ddf09 deployed; product 1fcb7f7 deployed; provisioning secret set</t>
        </is>
      </c>
      <c r="F58" s="7" t="inlineStr">
        <is>
          <t>1. In Central create/pay a cloud tenant (or Save an active one)
2. Open product Tenants screen</t>
        </is>
      </c>
      <c r="G58" s="7" t="inlineStr">
        <is>
          <t>Company + admin created AND licence row ACTIVE with the tenant's key — no manual key entry anywhere</t>
        </is>
      </c>
      <c r="H58" s="9" t="inlineStr"/>
      <c r="I58" s="7" t="inlineStr"/>
      <c r="J58" s="9" t="inlineStr"/>
      <c r="K58" s="7" t="inlineStr"/>
    </row>
    <row r="59">
      <c r="A59" s="6" t="inlineStr">
        <is>
          <t>TC-2D02</t>
        </is>
      </c>
      <c r="B59" s="7" t="inlineStr">
        <is>
          <t>Provisioning key delivery (Central → Product) — per-tenant licensing (S4)</t>
        </is>
      </c>
      <c r="C59" s="8" t="inlineStr">
        <is>
          <t>P1</t>
        </is>
      </c>
      <c r="D59" s="7" t="inlineStr">
        <is>
          <t>Re-provision re-pushes the key idempotently</t>
        </is>
      </c>
      <c r="E59" s="7" t="inlineStr">
        <is>
          <t>Existing provisioned tenant</t>
        </is>
      </c>
      <c r="F59" s="7" t="inlineStr">
        <is>
          <t>1. Save the tenant again in Central
2. Check product row</t>
        </is>
      </c>
      <c r="G59" s="7" t="inlineStr">
        <is>
          <t>Same key → row untouched (status/bundle preserved); changed key → row reset and revalidated</t>
        </is>
      </c>
      <c r="H59" s="9" t="inlineStr"/>
      <c r="I59" s="7" t="inlineStr"/>
      <c r="J59" s="9" t="inlineStr"/>
      <c r="K59" s="7" t="inlineStr"/>
    </row>
    <row r="60">
      <c r="A60" s="6" t="inlineStr">
        <is>
          <t>TC-2D03</t>
        </is>
      </c>
      <c r="B60" s="7" t="inlineStr">
        <is>
          <t>Provisioning key delivery (Central → Product) — per-tenant licensing (S4)</t>
        </is>
      </c>
      <c r="C60" s="10" t="inlineStr">
        <is>
          <t>P2</t>
        </is>
      </c>
      <c r="D60" s="7" t="inlineStr">
        <is>
          <t>Provision without licence_key still works (legacy)</t>
        </is>
      </c>
      <c r="E60" s="7" t="inlineStr">
        <is>
          <t>Tenant with no active licence</t>
        </is>
      </c>
      <c r="F60" s="7" t="inlineStr">
        <is>
          <t>1. Provision from Central</t>
        </is>
      </c>
      <c r="G60" s="7" t="inlineStr">
        <is>
          <t>Company + admin created; no licence row forced; tenant runs on 7-day evaluation</t>
        </is>
      </c>
      <c r="H60" s="9" t="inlineStr"/>
      <c r="I60" s="7" t="inlineStr"/>
      <c r="J60" s="9" t="inlineStr"/>
      <c r="K60" s="7" t="inlineStr"/>
    </row>
    <row r="61">
      <c r="A61" s="6" t="inlineStr">
        <is>
          <t>TC-2D04</t>
        </is>
      </c>
      <c r="B61" s="7" t="inlineStr">
        <is>
          <t>Provisioning key delivery (Central → Product) — per-tenant licensing (S4)</t>
        </is>
      </c>
      <c r="C61" s="8" t="inlineStr">
        <is>
          <t>P1</t>
        </is>
      </c>
      <c r="D61" s="7" t="inlineStr">
        <is>
          <t>Bad provisioning secret rejected</t>
        </is>
      </c>
      <c r="E61" s="7" t="inlineStr">
        <is>
          <t>-</t>
        </is>
      </c>
      <c r="F61" s="7" t="inlineStr">
        <is>
          <t>1. POST /api/provision with wrong X-Provision-Secret</t>
        </is>
      </c>
      <c r="G61" s="7" t="inlineStr">
        <is>
          <t>HTTP 401; nothing created or changed</t>
        </is>
      </c>
      <c r="H61" s="9" t="inlineStr"/>
      <c r="I61" s="7" t="inlineStr"/>
      <c r="J61" s="9" t="inlineStr"/>
      <c r="K61" s="7" t="inlineStr"/>
    </row>
    <row r="62">
      <c r="A62" s="6" t="inlineStr">
        <is>
          <t>TC-2D05</t>
        </is>
      </c>
      <c r="B62" s="7" t="inlineStr">
        <is>
          <t>Provisioning key delivery (Central → Product) — per-tenant licensing (S4)</t>
        </is>
      </c>
      <c r="C62" s="10" t="inlineStr">
        <is>
          <t>P2</t>
        </is>
      </c>
      <c r="D62" s="7" t="inlineStr">
        <is>
          <t>Open my Console SSO unaffected</t>
        </is>
      </c>
      <c r="E62" s="7" t="inlineStr">
        <is>
          <t>Provisioned tenant with console_url</t>
        </is>
      </c>
      <c r="F62" s="7" t="inlineStr">
        <is>
          <t>1. Central portal → Open my Console</t>
        </is>
      </c>
      <c r="G62" s="7" t="inlineStr">
        <is>
          <t>Signed-in landing on branded console exactly as before</t>
        </is>
      </c>
      <c r="H62" s="9" t="inlineStr"/>
      <c r="I62" s="7" t="inlineStr"/>
      <c r="J62" s="9" t="inlineStr"/>
      <c r="K62" s="7" t="inlineStr"/>
    </row>
    <row r="63">
      <c r="A63" s="4" t="inlineStr">
        <is>
          <t>2E. Agent enforcement (EnsureLicensed) — per-tenant licensing (S4)</t>
        </is>
      </c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</row>
    <row r="64">
      <c r="A64" s="6" t="inlineStr">
        <is>
          <t>TC-2E01</t>
        </is>
      </c>
      <c r="B64" s="7" t="inlineStr">
        <is>
          <t>Agent enforcement (EnsureLicensed) — per-tenant licensing (S4)</t>
        </is>
      </c>
      <c r="C64" s="8" t="inlineStr">
        <is>
          <t>P1</t>
        </is>
      </c>
      <c r="D64" s="7" t="inlineStr">
        <is>
          <t>Licensed tenant agents sync normally</t>
        </is>
      </c>
      <c r="E64" s="7" t="inlineStr">
        <is>
          <t>Khan licence ACTIVE</t>
        </is>
      </c>
      <c r="F64" s="7" t="inlineStr">
        <is>
          <t>1. Khan employee signs into agent; agent syncs</t>
        </is>
      </c>
      <c r="G64" s="7" t="inlineStr">
        <is>
          <t>register-device / heartbeat / sync all pass</t>
        </is>
      </c>
      <c r="H64" s="9" t="inlineStr"/>
      <c r="I64" s="7" t="inlineStr"/>
      <c r="J64" s="9" t="inlineStr"/>
      <c r="K64" s="7" t="inlineStr"/>
    </row>
    <row r="65">
      <c r="A65" s="6" t="inlineStr">
        <is>
          <t>TC-2E02</t>
        </is>
      </c>
      <c r="B65" s="7" t="inlineStr">
        <is>
          <t>Agent enforcement (EnsureLicensed) — per-tenant licensing (S4)</t>
        </is>
      </c>
      <c r="C65" s="8" t="inlineStr">
        <is>
          <t>P1</t>
        </is>
      </c>
      <c r="D65" s="7" t="inlineStr">
        <is>
          <t>One tenant's dead licence never blocks another</t>
        </is>
      </c>
      <c r="E65" s="7" t="inlineStr">
        <is>
          <t>Tenant X row set status=revoked (tinker); Khan ACTIVE</t>
        </is>
      </c>
      <c r="F65" s="7" t="inlineStr">
        <is>
          <t>1. X agent syncs
2. Khan agent syncs</t>
        </is>
      </c>
      <c r="G65" s="7" t="inlineStr">
        <is>
          <t>X gets 403 LICENSE_BLOCKED (reason revoked); Khan completely unaffected</t>
        </is>
      </c>
      <c r="H65" s="9" t="inlineStr"/>
      <c r="I65" s="7" t="inlineStr"/>
      <c r="J65" s="9" t="inlineStr"/>
      <c r="K65" s="7" t="inlineStr"/>
    </row>
    <row r="66">
      <c r="A66" s="6" t="inlineStr">
        <is>
          <t>TC-2E03</t>
        </is>
      </c>
      <c r="B66" s="7" t="inlineStr">
        <is>
          <t>Agent enforcement (EnsureLicensed) — per-tenant licensing (S4)</t>
        </is>
      </c>
      <c r="C66" s="8" t="inlineStr">
        <is>
          <t>P1</t>
        </is>
      </c>
      <c r="D66" s="7" t="inlineStr">
        <is>
          <t>Expired within grace still syncs</t>
        </is>
      </c>
      <c r="E66" s="7" t="inlineStr">
        <is>
          <t>Tenant row status=expired, expires_at within grace_days</t>
        </is>
      </c>
      <c r="F66" s="7" t="inlineStr">
        <is>
          <t>1. Agent sync</t>
        </is>
      </c>
      <c r="G66" s="7" t="inlineStr">
        <is>
          <t>Traffic passes (grace window honoured per tenant)</t>
        </is>
      </c>
      <c r="H66" s="9" t="inlineStr"/>
      <c r="I66" s="7" t="inlineStr"/>
      <c r="J66" s="9" t="inlineStr"/>
      <c r="K66" s="7" t="inlineStr"/>
    </row>
    <row r="67">
      <c r="A67" s="6" t="inlineStr">
        <is>
          <t>TC-2E04</t>
        </is>
      </c>
      <c r="B67" s="7" t="inlineStr">
        <is>
          <t>Agent enforcement (EnsureLicensed) — per-tenant licensing (S4)</t>
        </is>
      </c>
      <c r="C67" s="10" t="inlineStr">
        <is>
          <t>P2</t>
        </is>
      </c>
      <c r="D67" s="7" t="inlineStr">
        <is>
          <t>Expired beyond grace blocks</t>
        </is>
      </c>
      <c r="E67" s="7" t="inlineStr">
        <is>
          <t>Tenant row expired beyond grace</t>
        </is>
      </c>
      <c r="F67" s="7" t="inlineStr">
        <is>
          <t>1. Agent sync</t>
        </is>
      </c>
      <c r="G67" s="7" t="inlineStr">
        <is>
          <t>403 LICENSE_BLOCKED for that tenant only</t>
        </is>
      </c>
      <c r="H67" s="9" t="inlineStr"/>
      <c r="I67" s="7" t="inlineStr"/>
      <c r="J67" s="9" t="inlineStr"/>
      <c r="K67" s="7" t="inlineStr"/>
    </row>
    <row r="68">
      <c r="A68" s="6" t="inlineStr">
        <is>
          <t>TC-2E05</t>
        </is>
      </c>
      <c r="B68" s="7" t="inlineStr">
        <is>
          <t>Agent enforcement (EnsureLicensed) — per-tenant licensing (S4)</t>
        </is>
      </c>
      <c r="C68" s="8" t="inlineStr">
        <is>
          <t>P1</t>
        </is>
      </c>
      <c r="D68" s="7" t="inlineStr">
        <is>
          <t>Unlicensed SaaS tenant: 7-day evaluation then block</t>
        </is>
      </c>
      <c r="E68" s="7" t="inlineStr">
        <is>
          <t>SaaS company with no key (fresh row)</t>
        </is>
      </c>
      <c r="F68" s="7" t="inlineStr">
        <is>
          <t>1. Sync during window
2. Set row created_at back 8 days (tinker); sync again</t>
        </is>
      </c>
      <c r="G68" s="7" t="inlineStr">
        <is>
          <t>Passes during window; then 403 with reason evaluation_expired</t>
        </is>
      </c>
      <c r="H68" s="9" t="inlineStr"/>
      <c r="I68" s="7" t="inlineStr"/>
      <c r="J68" s="9" t="inlineStr"/>
      <c r="K68" s="7" t="inlineStr"/>
    </row>
    <row r="69">
      <c r="A69" s="6" t="inlineStr">
        <is>
          <t>TC-2E06</t>
        </is>
      </c>
      <c r="B69" s="7" t="inlineStr">
        <is>
          <t>Agent enforcement (EnsureLicensed) — per-tenant licensing (S4)</t>
        </is>
      </c>
      <c r="C69" s="10" t="inlineStr">
        <is>
          <t>P2</t>
        </is>
      </c>
      <c r="D69" s="7" t="inlineStr">
        <is>
          <t>Non-SaaS companies ride the install slot</t>
        </is>
      </c>
      <c r="E69" s="7" t="inlineStr">
        <is>
          <t>Install slot ACTIVE (or in evaluation)</t>
        </is>
      </c>
      <c r="F69" s="7" t="inlineStr">
        <is>
          <t>1. Agent of LAN company syncs</t>
        </is>
      </c>
      <c r="G69" s="7" t="inlineStr">
        <is>
          <t>Governed by install slot exactly as before the change</t>
        </is>
      </c>
      <c r="H69" s="9" t="inlineStr"/>
      <c r="I69" s="7" t="inlineStr"/>
      <c r="J69" s="9" t="inlineStr"/>
      <c r="K69" s="7" t="inlineStr"/>
    </row>
    <row r="70">
      <c r="A70" s="6" t="inlineStr">
        <is>
          <t>TC-2E07</t>
        </is>
      </c>
      <c r="B70" s="7" t="inlineStr">
        <is>
          <t>Agent enforcement (EnsureLicensed) — per-tenant licensing (S4)</t>
        </is>
      </c>
      <c r="C70" s="10" t="inlineStr">
        <is>
          <t>P2</t>
        </is>
      </c>
      <c r="D70" s="7" t="inlineStr">
        <is>
          <t>Central unreachable → last verdict stands per tenant</t>
        </is>
      </c>
      <c r="E70" s="7" t="inlineStr">
        <is>
          <t>Kill SMARTEPT_LICENSE_URL reachability (hosts file) on a test box</t>
        </is>
      </c>
      <c r="F70" s="7" t="inlineStr">
        <is>
          <t>1. Tenant with cached ACTIVE syncs</t>
        </is>
      </c>
      <c r="G70" s="7" t="inlineStr">
        <is>
          <t>Sync continues; unreachable_since recorded; no false block</t>
        </is>
      </c>
      <c r="H70" s="9" t="inlineStr"/>
      <c r="I70" s="7" t="inlineStr"/>
      <c r="J70" s="9" t="inlineStr"/>
      <c r="K70" s="7" t="inlineStr"/>
    </row>
    <row r="71">
      <c r="A71" s="4" t="inlineStr">
        <is>
          <t>2F. Device seats per tenant — per-tenant licensing (S4)</t>
        </is>
      </c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</row>
    <row r="72">
      <c r="A72" s="6" t="inlineStr">
        <is>
          <t>TC-2F01</t>
        </is>
      </c>
      <c r="B72" s="7" t="inlineStr">
        <is>
          <t>Device seats per tenant — per-tenant licensing (S4)</t>
        </is>
      </c>
      <c r="C72" s="8" t="inlineStr">
        <is>
          <t>P1</t>
        </is>
      </c>
      <c r="D72" s="7" t="inlineStr">
        <is>
          <t>Seat claimed against the employee's tenant key</t>
        </is>
      </c>
      <c r="E72" s="7" t="inlineStr">
        <is>
          <t>Khan ACTIVE with free seats</t>
        </is>
      </c>
      <c r="F72" s="7" t="inlineStr">
        <is>
          <t>1. New Khan employee registers a device
2. Central licence page for Khan</t>
        </is>
      </c>
      <c r="G72" s="7" t="inlineStr">
        <is>
          <t>Seat activates on Khan's licence at Central; devices_active increments for Khan only</t>
        </is>
      </c>
      <c r="H72" s="9" t="inlineStr"/>
      <c r="I72" s="7" t="inlineStr"/>
      <c r="J72" s="9" t="inlineStr"/>
      <c r="K72" s="7" t="inlineStr"/>
    </row>
    <row r="73">
      <c r="A73" s="6" t="inlineStr">
        <is>
          <t>TC-2F02</t>
        </is>
      </c>
      <c r="B73" s="7" t="inlineStr">
        <is>
          <t>Device seats per tenant — per-tenant licensing (S4)</t>
        </is>
      </c>
      <c r="C73" s="8" t="inlineStr">
        <is>
          <t>P1</t>
        </is>
      </c>
      <c r="D73" s="7" t="inlineStr">
        <is>
          <t>Tenant seat limit blocks only that tenant</t>
        </is>
      </c>
      <c r="E73" s="7" t="inlineStr">
        <is>
          <t>Tenant at device_limit</t>
        </is>
      </c>
      <c r="F73" s="7" t="inlineStr">
        <is>
          <t>1. One more device registers for that tenant
2. Khan (different tenant) registers a device</t>
        </is>
      </c>
      <c r="G73" s="7" t="inlineStr">
        <is>
          <t>First gets 409 LICENSE_SEAT_BLOCKED device_limit_reached; Khan's registration succeeds</t>
        </is>
      </c>
      <c r="H73" s="9" t="inlineStr"/>
      <c r="I73" s="7" t="inlineStr"/>
      <c r="J73" s="9" t="inlineStr"/>
      <c r="K73" s="7" t="inlineStr"/>
    </row>
    <row r="74">
      <c r="A74" s="6" t="inlineStr">
        <is>
          <t>TC-2F03</t>
        </is>
      </c>
      <c r="B74" s="7" t="inlineStr">
        <is>
          <t>Device seats per tenant — per-tenant licensing (S4)</t>
        </is>
      </c>
      <c r="C74" s="10" t="inlineStr">
        <is>
          <t>P2</t>
        </is>
      </c>
      <c r="D74" s="7" t="inlineStr">
        <is>
          <t>Unbind releases the tenant's seat</t>
        </is>
      </c>
      <c r="E74" s="7" t="inlineStr">
        <is>
          <t>Bound device on Khan</t>
        </is>
      </c>
      <c r="F74" s="7" t="inlineStr">
        <is>
          <t>1. Devices → Unbind
2. Check Central seat count for Khan</t>
        </is>
      </c>
      <c r="G74" s="7" t="inlineStr">
        <is>
          <t>Seat released on Khan's licence; token revoked; device blocked from re-registering until rebind</t>
        </is>
      </c>
      <c r="H74" s="9" t="inlineStr"/>
      <c r="I74" s="7" t="inlineStr"/>
      <c r="J74" s="9" t="inlineStr"/>
      <c r="K74" s="7" t="inlineStr"/>
    </row>
    <row r="75">
      <c r="A75" s="6" t="inlineStr">
        <is>
          <t>TC-2F04</t>
        </is>
      </c>
      <c r="B75" s="7" t="inlineStr">
        <is>
          <t>Device seats per tenant — per-tenant licensing (S4)</t>
        </is>
      </c>
      <c r="C75" s="10" t="inlineStr">
        <is>
          <t>P2</t>
        </is>
      </c>
      <c r="D75" s="7" t="inlineStr">
        <is>
          <t>Rebind reclaims on the right licence</t>
        </is>
      </c>
      <c r="E75" s="7" t="inlineStr">
        <is>
          <t>Unbound Khan device</t>
        </is>
      </c>
      <c r="F75" s="7" t="inlineStr">
        <is>
          <t>1. Devices → Rebind</t>
        </is>
      </c>
      <c r="G75" s="7" t="inlineStr">
        <is>
          <t>Seat reclaimed against Khan's key; 409 with clear message if none free</t>
        </is>
      </c>
      <c r="H75" s="9" t="inlineStr"/>
      <c r="I75" s="7" t="inlineStr"/>
      <c r="J75" s="9" t="inlineStr"/>
      <c r="K75" s="7" t="inlineStr"/>
    </row>
    <row r="76">
      <c r="A76" s="6" t="inlineStr">
        <is>
          <t>TC-2F05</t>
        </is>
      </c>
      <c r="B76" s="7" t="inlineStr">
        <is>
          <t>Device seats per tenant — per-tenant licensing (S4)</t>
        </is>
      </c>
      <c r="C76" s="10" t="inlineStr">
        <is>
          <t>P2</t>
        </is>
      </c>
      <c r="D76" s="7" t="inlineStr">
        <is>
          <t>Relieve employee releases every device per tenant</t>
        </is>
      </c>
      <c r="E76" s="7" t="inlineStr">
        <is>
          <t>Khan employee with 2 devices</t>
        </is>
      </c>
      <c r="F76" s="7" t="inlineStr">
        <is>
          <t>1. Employees → Relieve (with reason)</t>
        </is>
      </c>
      <c r="G76" s="7" t="inlineStr">
        <is>
          <t>Both seats released on Khan's licence; devices unbound; tokens revoked</t>
        </is>
      </c>
      <c r="H76" s="9" t="inlineStr"/>
      <c r="I76" s="7" t="inlineStr"/>
      <c r="J76" s="9" t="inlineStr"/>
      <c r="K76" s="7" t="inlineStr"/>
    </row>
    <row r="77">
      <c r="A77" s="4" t="inlineStr">
        <is>
          <t>2G. Storage reporting &amp; governance — per-tenant licensing (S4)</t>
        </is>
      </c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</row>
    <row r="78">
      <c r="A78" s="6" t="inlineStr">
        <is>
          <t>TC-2G01</t>
        </is>
      </c>
      <c r="B78" s="7" t="inlineStr">
        <is>
          <t>Storage reporting &amp; governance — per-tenant licensing (S4)</t>
        </is>
      </c>
      <c r="C78" s="8" t="inlineStr">
        <is>
          <t>P1</t>
        </is>
      </c>
      <c r="D78" s="7" t="inlineStr">
        <is>
          <t>Per-tenant storage reported to Central</t>
        </is>
      </c>
      <c r="E78" s="7" t="inlineStr">
        <is>
          <t>Two tenants with different storage footprints</t>
        </is>
      </c>
      <c r="F78" s="7" t="inlineStr">
        <is>
          <t>1. Validate each tenant (Tenants → Validate)
2. Central: storage_usages rows</t>
        </is>
      </c>
      <c r="G78" s="7" t="inlineStr">
        <is>
          <t>Each tenant's storage_gb equals ITS OWN files only (not the whole box)</t>
        </is>
      </c>
      <c r="H78" s="9" t="inlineStr"/>
      <c r="I78" s="7" t="inlineStr"/>
      <c r="J78" s="9" t="inlineStr"/>
      <c r="K78" s="7" t="inlineStr"/>
    </row>
    <row r="79">
      <c r="A79" s="6" t="inlineStr">
        <is>
          <t>TC-2G02</t>
        </is>
      </c>
      <c r="B79" s="7" t="inlineStr">
        <is>
          <t>Storage reporting &amp; governance — per-tenant licensing (S4)</t>
        </is>
      </c>
      <c r="C79" s="10" t="inlineStr">
        <is>
          <t>P2</t>
        </is>
      </c>
      <c r="D79" s="7" t="inlineStr">
        <is>
          <t>Install row still reports whole-box storage</t>
        </is>
      </c>
      <c r="E79" s="7" t="inlineStr">
        <is>
          <t>Install slot keyed (client-hosted case)</t>
        </is>
      </c>
      <c r="F79" s="7" t="inlineStr">
        <is>
          <t>1. Validate install licence</t>
        </is>
      </c>
      <c r="G79" s="7" t="inlineStr">
        <is>
          <t>storage_gb = all evidence files on the server</t>
        </is>
      </c>
      <c r="H79" s="9" t="inlineStr"/>
      <c r="I79" s="7" t="inlineStr"/>
      <c r="J79" s="9" t="inlineStr"/>
      <c r="K79" s="7" t="inlineStr"/>
    </row>
    <row r="80">
      <c r="A80" s="6" t="inlineStr">
        <is>
          <t>TC-2G03</t>
        </is>
      </c>
      <c r="B80" s="7" t="inlineStr">
        <is>
          <t>Storage reporting &amp; governance — per-tenant licensing (S4)</t>
        </is>
      </c>
      <c r="C80" s="8" t="inlineStr">
        <is>
          <t>P1</t>
        </is>
      </c>
      <c r="D80" s="7" t="inlineStr">
        <is>
          <t>Tenant over quota pauses only that tenant's screenshots</t>
        </is>
      </c>
      <c r="E80" s="7" t="inlineStr">
        <is>
          <t>Force tenant over 100% (Central storage governance)</t>
        </is>
      </c>
      <c r="F80" s="7" t="inlineStr">
        <is>
          <t>1. Validate tenant (pause flag returns)
2. That tenant's agent uploads screenshot
3. Khan agent uploads screenshot</t>
        </is>
      </c>
      <c r="G80" s="7" t="inlineStr">
        <is>
          <t>Over-quota tenant gets 409 'Storage is full…'; Khan uploads fine; activity tracking continues for both</t>
        </is>
      </c>
      <c r="H80" s="9" t="inlineStr"/>
      <c r="I80" s="7" t="inlineStr"/>
      <c r="J80" s="9" t="inlineStr"/>
      <c r="K80" s="7" t="inlineStr"/>
    </row>
    <row r="81">
      <c r="A81" s="6" t="inlineStr">
        <is>
          <t>TC-2G04</t>
        </is>
      </c>
      <c r="B81" s="7" t="inlineStr">
        <is>
          <t>Storage reporting &amp; governance — per-tenant licensing (S4)</t>
        </is>
      </c>
      <c r="C81" s="10" t="inlineStr">
        <is>
          <t>P2</t>
        </is>
      </c>
      <c r="D81" s="7" t="inlineStr">
        <is>
          <t>Global storage pause still works (backward compat)</t>
        </is>
      </c>
      <c r="E81" s="7" t="inlineStr">
        <is>
          <t>Set Setting storage_paused=1</t>
        </is>
      </c>
      <c r="F81" s="7" t="inlineStr">
        <is>
          <t>1. Any agent uploads screenshot</t>
        </is>
      </c>
      <c r="G81" s="7" t="inlineStr">
        <is>
          <t>409 for all companies — install-wide switch honoured as before</t>
        </is>
      </c>
      <c r="H81" s="9" t="inlineStr"/>
      <c r="I81" s="7" t="inlineStr"/>
      <c r="J81" s="9" t="inlineStr"/>
      <c r="K81" s="7" t="inlineStr"/>
    </row>
    <row r="82">
      <c r="A82" s="6" t="inlineStr">
        <is>
          <t>TC-2G05</t>
        </is>
      </c>
      <c r="B82" s="7" t="inlineStr">
        <is>
          <t>Storage reporting &amp; governance — per-tenant licensing (S4)</t>
        </is>
      </c>
      <c r="C82" s="10" t="inlineStr">
        <is>
          <t>P2</t>
        </is>
      </c>
      <c r="D82" s="7" t="inlineStr">
        <is>
          <t>Storage bar colours &amp; percentages on Tenants screen</t>
        </is>
      </c>
      <c r="E82" s="7" t="inlineStr">
        <is>
          <t>Tenants at &lt;70%, 70–89%, ≥90% of quota</t>
        </is>
      </c>
      <c r="F82" s="7" t="inlineStr">
        <is>
          <t>1. Open Tenants; compare used/quota/%</t>
        </is>
      </c>
      <c r="G82" s="7" t="inlineStr">
        <is>
          <t>Bar green &lt;70, amber 70–89, red ≥90; % = used/quota rounded; 'no quota' shown when unlimited</t>
        </is>
      </c>
      <c r="H82" s="9" t="inlineStr"/>
      <c r="I82" s="7" t="inlineStr"/>
      <c r="J82" s="9" t="inlineStr"/>
      <c r="K82" s="7" t="inlineStr"/>
    </row>
    <row r="83">
      <c r="A83" s="4" t="inlineStr">
        <is>
          <t>2H. Tenants screen (HOST) — per-tenant licensing (S4)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>
      <c r="A84" s="6" t="inlineStr">
        <is>
          <t>TC-2H01</t>
        </is>
      </c>
      <c r="B84" s="7" t="inlineStr">
        <is>
          <t>Tenants screen (HOST) — per-tenant licensing (S4)</t>
        </is>
      </c>
      <c r="C84" s="8" t="inlineStr">
        <is>
          <t>P1</t>
        </is>
      </c>
      <c r="D84" s="7" t="inlineStr">
        <is>
          <t>Visible to Super Admin only</t>
        </is>
      </c>
      <c r="E84" s="7" t="inlineStr">
        <is>
          <t>Accounts of each role</t>
        </is>
      </c>
      <c r="F84" s="7" t="inlineStr">
        <is>
          <t>1. Sign in as SUPER_ADMIN, COMPANY_ADMIN, HR_ADMIN, EMPLOYEE in turn</t>
        </is>
      </c>
      <c r="G84" s="7" t="inlineStr">
        <is>
          <t>HOST → Tenants appears only for SUPER_ADMIN; other roles never see the section</t>
        </is>
      </c>
      <c r="H84" s="9" t="inlineStr"/>
      <c r="I84" s="7" t="inlineStr"/>
      <c r="J84" s="9" t="inlineStr"/>
      <c r="K84" s="7" t="inlineStr"/>
    </row>
    <row r="85">
      <c r="A85" s="6" t="inlineStr">
        <is>
          <t>TC-2H02</t>
        </is>
      </c>
      <c r="B85" s="7" t="inlineStr">
        <is>
          <t>Tenants screen (HOST) — per-tenant licensing (S4)</t>
        </is>
      </c>
      <c r="C85" s="8" t="inlineStr">
        <is>
          <t>P1</t>
        </is>
      </c>
      <c r="D85" s="7" t="inlineStr">
        <is>
          <t>API gated server-side</t>
        </is>
      </c>
      <c r="E85" s="7" t="inlineStr">
        <is>
          <t>Company admin token</t>
        </is>
      </c>
      <c r="F85" s="7" t="inlineStr">
        <is>
          <t>1. GET /api/tenants
2. POST /api/tenants/{id}/license/validate</t>
        </is>
      </c>
      <c r="G85" s="7" t="inlineStr">
        <is>
          <t>Both 403 regardless of UI</t>
        </is>
      </c>
      <c r="H85" s="9" t="inlineStr"/>
      <c r="I85" s="7" t="inlineStr"/>
      <c r="J85" s="9" t="inlineStr"/>
      <c r="K85" s="7" t="inlineStr"/>
    </row>
    <row r="86">
      <c r="A86" s="6" t="inlineStr">
        <is>
          <t>TC-2H03</t>
        </is>
      </c>
      <c r="B86" s="7" t="inlineStr">
        <is>
          <t>Tenants screen (HOST) — per-tenant licensing (S4)</t>
        </is>
      </c>
      <c r="C86" s="10" t="inlineStr">
        <is>
          <t>P2</t>
        </is>
      </c>
      <c r="D86" s="7" t="inlineStr">
        <is>
          <t>KPI chips correct</t>
        </is>
      </c>
      <c r="E86" s="7" t="inlineStr">
        <is>
          <t>Known tenant mix</t>
        </is>
      </c>
      <c r="F86" s="7" t="inlineStr">
        <is>
          <t>1. Open Tenants; cross-check chips</t>
        </is>
      </c>
      <c r="G86" s="7" t="inlineStr">
        <is>
          <t>Cloud tenants count, other companies, Licences OK x/y, devices bound, total evidence storage all match DB</t>
        </is>
      </c>
      <c r="H86" s="9" t="inlineStr"/>
      <c r="I86" s="7" t="inlineStr"/>
      <c r="J86" s="9" t="inlineStr"/>
      <c r="K86" s="7" t="inlineStr"/>
    </row>
    <row r="87">
      <c r="A87" s="6" t="inlineStr">
        <is>
          <t>TC-2H04</t>
        </is>
      </c>
      <c r="B87" s="7" t="inlineStr">
        <is>
          <t>Tenants screen (HOST) — per-tenant licensing (S4)</t>
        </is>
      </c>
      <c r="C87" s="10" t="inlineStr">
        <is>
          <t>P2</t>
        </is>
      </c>
      <c r="D87" s="7" t="inlineStr">
        <is>
          <t>Slug links open branded consoles</t>
        </is>
      </c>
      <c r="E87" s="7" t="inlineStr">
        <is>
          <t>Tenants with slugs</t>
        </is>
      </c>
      <c r="F87" s="7" t="inlineStr">
        <is>
          <t>1. Click /khan link</t>
        </is>
      </c>
      <c r="G87" s="7" t="inlineStr">
        <is>
          <t>New tab: admin.smartept.com/khan branded login/console</t>
        </is>
      </c>
      <c r="H87" s="9" t="inlineStr"/>
      <c r="I87" s="7" t="inlineStr"/>
      <c r="J87" s="9" t="inlineStr"/>
      <c r="K87" s="7" t="inlineStr"/>
    </row>
    <row r="88">
      <c r="A88" s="6" t="inlineStr">
        <is>
          <t>TC-2H05</t>
        </is>
      </c>
      <c r="B88" s="7" t="inlineStr">
        <is>
          <t>Tenants screen (HOST) — per-tenant licensing (S4)</t>
        </is>
      </c>
      <c r="C88" s="8" t="inlineStr">
        <is>
          <t>P1</t>
        </is>
      </c>
      <c r="D88" s="7" t="inlineStr">
        <is>
          <t>Licence pills reflect every state</t>
        </is>
      </c>
      <c r="E88" s="7" t="inlineStr">
        <is>
          <t>Tenants in states: active, evaluation, no licence, expired; plus a non-cloud company</t>
        </is>
      </c>
      <c r="F88" s="7" t="inlineStr">
        <is>
          <t>1. Review each row's pill</t>
        </is>
      </c>
      <c r="G88" s="7" t="inlineStr">
        <is>
          <t>ACTIVE green; EVALUATION amber with days left; NO LICENCE red; EXPIRED per grace; non-cloud shows INSTALL pill</t>
        </is>
      </c>
      <c r="H88" s="9" t="inlineStr"/>
      <c r="I88" s="7" t="inlineStr"/>
      <c r="J88" s="9" t="inlineStr"/>
      <c r="K88" s="7" t="inlineStr"/>
    </row>
    <row r="89">
      <c r="A89" s="6" t="inlineStr">
        <is>
          <t>TC-2H06</t>
        </is>
      </c>
      <c r="B89" s="7" t="inlineStr">
        <is>
          <t>Tenants screen (HOST) — per-tenant licensing (S4)</t>
        </is>
      </c>
      <c r="C89" s="10" t="inlineStr">
        <is>
          <t>P2</t>
        </is>
      </c>
      <c r="D89" s="7" t="inlineStr">
        <is>
          <t>Seats column warns when full</t>
        </is>
      </c>
      <c r="E89" s="7" t="inlineStr">
        <is>
          <t>Tenant with bound == device_limit</t>
        </is>
      </c>
      <c r="F89" s="7" t="inlineStr">
        <is>
          <t>1. Review seats cell</t>
        </is>
      </c>
      <c r="G89" s="7" t="inlineStr">
        <is>
          <t>Rendered amber/bold 'n / n'</t>
        </is>
      </c>
      <c r="H89" s="9" t="inlineStr"/>
      <c r="I89" s="7" t="inlineStr"/>
      <c r="J89" s="9" t="inlineStr"/>
      <c r="K89" s="7" t="inlineStr"/>
    </row>
    <row r="90">
      <c r="A90" s="6" t="inlineStr">
        <is>
          <t>TC-2H07</t>
        </is>
      </c>
      <c r="B90" s="7" t="inlineStr">
        <is>
          <t>Tenants screen (HOST) — per-tenant licensing (S4)</t>
        </is>
      </c>
      <c r="C90" s="8" t="inlineStr">
        <is>
          <t>P1</t>
        </is>
      </c>
      <c r="D90" s="7" t="inlineStr">
        <is>
          <t>Per-tenant Validate button works</t>
        </is>
      </c>
      <c r="E90" s="7" t="inlineStr">
        <is>
          <t>Tenant with stale last check</t>
        </is>
      </c>
      <c r="F90" s="7" t="inlineStr">
        <is>
          <t>1. Click Validate on the row</t>
        </is>
      </c>
      <c r="G90" s="7" t="inlineStr">
        <is>
          <t>Phone-home fires for THAT tenant only; button shows result; row refreshes with new last-check time</t>
        </is>
      </c>
      <c r="H90" s="9" t="inlineStr"/>
      <c r="I90" s="7" t="inlineStr"/>
      <c r="J90" s="9" t="inlineStr"/>
      <c r="K90" s="7" t="inlineStr"/>
    </row>
    <row r="91">
      <c r="A91" s="6" t="inlineStr">
        <is>
          <t>TC-2H08</t>
        </is>
      </c>
      <c r="B91" s="7" t="inlineStr">
        <is>
          <t>Tenants screen (HOST) — per-tenant licensing (S4)</t>
        </is>
      </c>
      <c r="C91" s="6" t="inlineStr">
        <is>
          <t>P3</t>
        </is>
      </c>
      <c r="D91" s="7" t="inlineStr">
        <is>
          <t>Storage cache notice</t>
        </is>
      </c>
      <c r="E91" s="7" t="inlineStr">
        <is>
          <t>-</t>
        </is>
      </c>
      <c r="F91" s="7" t="inlineStr">
        <is>
          <t>1. Footer note on Tenants</t>
        </is>
      </c>
      <c r="G91" s="7" t="inlineStr">
        <is>
          <t>States 10-minute refresh + billing-lives-in-Central reminder + install licence status</t>
        </is>
      </c>
      <c r="H91" s="9" t="inlineStr"/>
      <c r="I91" s="7" t="inlineStr"/>
      <c r="J91" s="9" t="inlineStr"/>
      <c r="K91" s="7" t="inlineStr"/>
    </row>
    <row r="92">
      <c r="A92" s="6" t="inlineStr">
        <is>
          <t>TC-2H09</t>
        </is>
      </c>
      <c r="B92" s="7" t="inlineStr">
        <is>
          <t>Tenants screen (HOST) — per-tenant licensing (S4)</t>
        </is>
      </c>
      <c r="C92" s="10" t="inlineStr">
        <is>
          <t>P2</t>
        </is>
      </c>
      <c r="D92" s="7" t="inlineStr">
        <is>
          <t>Validate on non-cloud company rejected cleanly</t>
        </is>
      </c>
      <c r="E92" s="7" t="inlineStr">
        <is>
          <t>-</t>
        </is>
      </c>
      <c r="F92" s="7" t="inlineStr">
        <is>
          <t>1. POST /api/tenants/{nonCloudId}/license/validate</t>
        </is>
      </c>
      <c r="G92" s="7" t="inlineStr">
        <is>
          <t>422 'uses the install-level licence — validate it from the Licence screen'</t>
        </is>
      </c>
      <c r="H92" s="9" t="inlineStr"/>
      <c r="I92" s="7" t="inlineStr"/>
      <c r="J92" s="9" t="inlineStr"/>
      <c r="K92" s="7" t="inlineStr"/>
    </row>
    <row r="93">
      <c r="A93" s="4" t="inlineStr">
        <is>
          <t>2I. Daily validate command — per-tenant licensing (S4)</t>
        </is>
      </c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</row>
    <row r="94">
      <c r="A94" s="6" t="inlineStr">
        <is>
          <t>TC-2I01</t>
        </is>
      </c>
      <c r="B94" s="7" t="inlineStr">
        <is>
          <t>Daily validate command — per-tenant licensing (S4)</t>
        </is>
      </c>
      <c r="C94" s="8" t="inlineStr">
        <is>
          <t>P1</t>
        </is>
      </c>
      <c r="D94" s="7" t="inlineStr">
        <is>
          <t>Command validates install + every tenant row</t>
        </is>
      </c>
      <c r="E94" s="7" t="inlineStr">
        <is>
          <t>Install + 2 tenant rows keyed</t>
        </is>
      </c>
      <c r="F94" s="7" t="inlineStr">
        <is>
          <t>1. php artisan smartept:validate-license</t>
        </is>
      </c>
      <c r="G94" s="7" t="inlineStr">
        <is>
          <t>One output line per configured row (Install / Tenant #id (name)); each bundle refreshed</t>
        </is>
      </c>
      <c r="H94" s="9" t="inlineStr"/>
      <c r="I94" s="7" t="inlineStr"/>
      <c r="J94" s="9" t="inlineStr"/>
      <c r="K94" s="7" t="inlineStr"/>
    </row>
    <row r="95">
      <c r="A95" s="6" t="inlineStr">
        <is>
          <t>TC-2I02</t>
        </is>
      </c>
      <c r="B95" s="7" t="inlineStr">
        <is>
          <t>Daily validate command — per-tenant licensing (S4)</t>
        </is>
      </c>
      <c r="C95" s="10" t="inlineStr">
        <is>
          <t>P2</t>
        </is>
      </c>
      <c r="D95" s="7" t="inlineStr">
        <is>
          <t>Exit code fails when any row blocked</t>
        </is>
      </c>
      <c r="E95" s="7" t="inlineStr">
        <is>
          <t>One tenant revoked</t>
        </is>
      </c>
      <c r="F95" s="7" t="inlineStr">
        <is>
          <t>1. Run command; echo $?</t>
        </is>
      </c>
      <c r="G95" s="7" t="inlineStr">
        <is>
          <t>Non-zero exit; blocked row named in output</t>
        </is>
      </c>
      <c r="H95" s="9" t="inlineStr"/>
      <c r="I95" s="7" t="inlineStr"/>
      <c r="J95" s="9" t="inlineStr"/>
      <c r="K95" s="7" t="inlineStr"/>
    </row>
    <row r="96">
      <c r="A96" s="6" t="inlineStr">
        <is>
          <t>TC-2I03</t>
        </is>
      </c>
      <c r="B96" s="7" t="inlineStr">
        <is>
          <t>Daily validate command — per-tenant licensing (S4)</t>
        </is>
      </c>
      <c r="C96" s="6" t="inlineStr">
        <is>
          <t>P3</t>
        </is>
      </c>
      <c r="D96" s="7" t="inlineStr">
        <is>
          <t>No keys anywhere → graceful warn</t>
        </is>
      </c>
      <c r="E96" s="7" t="inlineStr">
        <is>
          <t>Fresh DB, no keys</t>
        </is>
      </c>
      <c r="F96" s="7" t="inlineStr">
        <is>
          <t>1. Run command</t>
        </is>
      </c>
      <c r="G96" s="7" t="inlineStr">
        <is>
          <t>Warning about no key; exit success; nothing crashes</t>
        </is>
      </c>
      <c r="H96" s="9" t="inlineStr"/>
      <c r="I96" s="7" t="inlineStr"/>
      <c r="J96" s="9" t="inlineStr"/>
      <c r="K96" s="7" t="inlineStr"/>
    </row>
    <row r="97">
      <c r="A97" s="4" t="inlineStr">
        <is>
          <t>2J. Automated &amp; regression — per-tenant licensing (S4)</t>
        </is>
      </c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</row>
    <row r="98">
      <c r="A98" s="6" t="inlineStr">
        <is>
          <t>TC-2J01</t>
        </is>
      </c>
      <c r="B98" s="7" t="inlineStr">
        <is>
          <t>Automated &amp; regression — per-tenant licensing (S4)</t>
        </is>
      </c>
      <c r="C98" s="8" t="inlineStr">
        <is>
          <t>P1</t>
        </is>
      </c>
      <c r="D98" s="7" t="inlineStr">
        <is>
          <t>PerTenantLicenseTest green</t>
        </is>
      </c>
      <c r="E98" s="7" t="inlineStr">
        <is>
          <t>Local Laragon</t>
        </is>
      </c>
      <c r="F98" s="7" t="inlineStr">
        <is>
          <t>1. php artisan test --filter=PerTenantLicenseTest</t>
        </is>
      </c>
      <c r="G98" s="7" t="inlineStr">
        <is>
          <t>All 5 tests pass</t>
        </is>
      </c>
      <c r="H98" s="9" t="inlineStr"/>
      <c r="I98" s="7" t="inlineStr"/>
      <c r="J98" s="9" t="inlineStr"/>
      <c r="K98" s="7" t="inlineStr"/>
    </row>
    <row r="99">
      <c r="A99" s="6" t="inlineStr">
        <is>
          <t>TC-2J02</t>
        </is>
      </c>
      <c r="B99" s="7" t="inlineStr">
        <is>
          <t>Automated &amp; regression — per-tenant licensing (S4)</t>
        </is>
      </c>
      <c r="C99" s="8" t="inlineStr">
        <is>
          <t>P1</t>
        </is>
      </c>
      <c r="D99" s="7" t="inlineStr">
        <is>
          <t>M9 licence + M11 offboarding suites green (regression)</t>
        </is>
      </c>
      <c r="E99" s="7" t="inlineStr">
        <is>
          <t>-</t>
        </is>
      </c>
      <c r="F99" s="7" t="inlineStr">
        <is>
          <t>1. php artisan test --filter=M9LicenseTest
2. --filter=M11OffboardingTest</t>
        </is>
      </c>
      <c r="G99" s="7" t="inlineStr">
        <is>
          <t>All pass unchanged — client-hosted behaviour untouched</t>
        </is>
      </c>
      <c r="H99" s="9" t="inlineStr"/>
      <c r="I99" s="7" t="inlineStr"/>
      <c r="J99" s="9" t="inlineStr"/>
      <c r="K99" s="7" t="inlineStr"/>
    </row>
    <row r="100">
      <c r="A100" s="6" t="inlineStr">
        <is>
          <t>TC-2J03</t>
        </is>
      </c>
      <c r="B100" s="7" t="inlineStr">
        <is>
          <t>Automated &amp; regression — per-tenant licensing (S4)</t>
        </is>
      </c>
      <c r="C100" s="10" t="inlineStr">
        <is>
          <t>P2</t>
        </is>
      </c>
      <c r="D100" s="7" t="inlineStr">
        <is>
          <t>Full product suite green</t>
        </is>
      </c>
      <c r="E100" s="7" t="inlineStr">
        <is>
          <t>-</t>
        </is>
      </c>
      <c r="F100" s="7" t="inlineStr">
        <is>
          <t>1. test.bat</t>
        </is>
      </c>
      <c r="G100" s="7" t="inlineStr">
        <is>
          <t>No failures</t>
        </is>
      </c>
      <c r="H100" s="9" t="inlineStr"/>
      <c r="I100" s="7" t="inlineStr"/>
      <c r="J100" s="9" t="inlineStr"/>
      <c r="K100" s="7" t="inlineStr"/>
    </row>
    <row r="101">
      <c r="A101" s="6" t="inlineStr">
        <is>
          <t>TC-2J04</t>
        </is>
      </c>
      <c r="B101" s="7" t="inlineStr">
        <is>
          <t>Automated &amp; regression — per-tenant licensing (S4)</t>
        </is>
      </c>
      <c r="C101" s="8" t="inlineStr">
        <is>
          <t>P1</t>
        </is>
      </c>
      <c r="D101" s="7" t="inlineStr">
        <is>
          <t>Live smoke after deploy</t>
        </is>
      </c>
      <c r="E101" s="7" t="inlineStr">
        <is>
          <t>Steps 3–4 of SR-04 §12 done</t>
        </is>
      </c>
      <c r="F101" s="7" t="inlineStr">
        <is>
          <t>1. /khan web login
2. Khan agent sign-in + sync
3. Tenants screen on live
4. Central tenant storage stats next day</t>
        </is>
      </c>
      <c r="G101" s="7" t="inlineStr">
        <is>
          <t>All green; Khan on own licence; per-tenant storage flowing</t>
        </is>
      </c>
      <c r="H101" s="9" t="inlineStr"/>
      <c r="I101" s="7" t="inlineStr"/>
      <c r="J101" s="9" t="inlineStr"/>
      <c r="K101" s="7" t="inlineStr"/>
    </row>
    <row r="102">
      <c r="A102" s="4" t="inlineStr">
        <is>
          <t>3A. Migration &amp; automated tests — licence change flows (S5)</t>
        </is>
      </c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</row>
    <row r="103">
      <c r="A103" s="6" t="inlineStr">
        <is>
          <t>TC-3A01</t>
        </is>
      </c>
      <c r="B103" s="7" t="inlineStr">
        <is>
          <t>Migration &amp; automated tests — licence change flows (S5)</t>
        </is>
      </c>
      <c r="C103" s="8" t="inlineStr">
        <is>
          <t>P1</t>
        </is>
      </c>
      <c r="D103" s="7" t="inlineStr">
        <is>
          <t>Migration adds renewal_device_limit cleanly</t>
        </is>
      </c>
      <c r="E103" s="7" t="inlineStr">
        <is>
          <t>Central at face8e7; local Laragon DB</t>
        </is>
      </c>
      <c r="F103" s="7" t="inlineStr">
        <is>
          <t>1. php artisan migrate
2. DESCRIBE licences</t>
        </is>
      </c>
      <c r="G103" s="7" t="inlineStr">
        <is>
          <t>2026_08_12_000500 runs clean; renewal_device_limit nullable UNSIGNED INT after device_limit; no ENUMs; no data lost</t>
        </is>
      </c>
      <c r="H103" s="9" t="inlineStr"/>
      <c r="I103" s="7" t="inlineStr"/>
      <c r="J103" s="9" t="inlineStr"/>
      <c r="K103" s="7" t="inlineStr"/>
    </row>
    <row r="104">
      <c r="A104" s="6" t="inlineStr">
        <is>
          <t>TC-3A02</t>
        </is>
      </c>
      <c r="B104" s="7" t="inlineStr">
        <is>
          <t>Migration &amp; automated tests — licence change flows (S5)</t>
        </is>
      </c>
      <c r="C104" s="8" t="inlineStr">
        <is>
          <t>P1</t>
        </is>
      </c>
      <c r="D104" s="7" t="inlineStr">
        <is>
          <t>LicenceChangeFlowsTest green</t>
        </is>
      </c>
      <c r="E104" s="7" t="inlineStr">
        <is>
          <t>-</t>
        </is>
      </c>
      <c r="F104" s="7" t="inlineStr">
        <is>
          <t>1. php artisan test --filter=LicenceChangeFlowsTest</t>
        </is>
      </c>
      <c r="G104" s="7" t="inlineStr">
        <is>
          <t>All 5 tests pass (incl. the exact ₹10,000 + ₹1,800 GST interpolated-difference case)</t>
        </is>
      </c>
      <c r="H104" s="9" t="inlineStr"/>
      <c r="I104" s="7" t="inlineStr"/>
      <c r="J104" s="9" t="inlineStr"/>
      <c r="K104" s="7" t="inlineStr"/>
    </row>
    <row r="105">
      <c r="A105" s="6" t="inlineStr">
        <is>
          <t>TC-3A03</t>
        </is>
      </c>
      <c r="B105" s="7" t="inlineStr">
        <is>
          <t>Migration &amp; automated tests — licence change flows (S5)</t>
        </is>
      </c>
      <c r="C105" s="8" t="inlineStr">
        <is>
          <t>P1</t>
        </is>
      </c>
      <c r="D105" s="7" t="inlineStr">
        <is>
          <t>Progressive pricing regression green</t>
        </is>
      </c>
      <c r="E105" s="7" t="inlineStr">
        <is>
          <t>-</t>
        </is>
      </c>
      <c r="F105" s="7" t="inlineStr">
        <is>
          <t>1. php artisan test --filter=PerpetualProgressivePricingTest</t>
        </is>
      </c>
      <c r="G105" s="7" t="inlineStr">
        <is>
          <t>Full acceptance matrix still passes — the upgrade engine changed nothing in base pricing</t>
        </is>
      </c>
      <c r="H105" s="9" t="inlineStr"/>
      <c r="I105" s="7" t="inlineStr"/>
      <c r="J105" s="9" t="inlineStr"/>
      <c r="K105" s="7" t="inlineStr"/>
    </row>
    <row r="106">
      <c r="A106" s="6" t="inlineStr">
        <is>
          <t>TC-3A04</t>
        </is>
      </c>
      <c r="B106" s="7" t="inlineStr">
        <is>
          <t>Migration &amp; automated tests — licence change flows (S5)</t>
        </is>
      </c>
      <c r="C106" s="10" t="inlineStr">
        <is>
          <t>P2</t>
        </is>
      </c>
      <c r="D106" s="7" t="inlineStr">
        <is>
          <t>Migration rollback clean</t>
        </is>
      </c>
      <c r="E106" s="7" t="inlineStr">
        <is>
          <t>Migration applied</t>
        </is>
      </c>
      <c r="F106" s="7" t="inlineStr">
        <is>
          <t>1. php artisan migrate:rollback --step=1
2. Re-migrate</t>
        </is>
      </c>
      <c r="G106" s="7" t="inlineStr">
        <is>
          <t>Column drops and re-adds without error</t>
        </is>
      </c>
      <c r="H106" s="9" t="inlineStr"/>
      <c r="I106" s="7" t="inlineStr"/>
      <c r="J106" s="9" t="inlineStr"/>
      <c r="K106" s="7" t="inlineStr"/>
    </row>
    <row r="107">
      <c r="A107" s="4" t="inlineStr">
        <is>
          <t>3B. Admin billed upgrade — cloud subscription — licence change flows (S5)</t>
        </is>
      </c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</row>
    <row r="108">
      <c r="A108" s="6" t="inlineStr">
        <is>
          <t>TC-3B01</t>
        </is>
      </c>
      <c r="B108" s="7" t="inlineStr">
        <is>
          <t>Admin billed upgrade — cloud subscription — licence change flows (S5)</t>
        </is>
      </c>
      <c r="C108" s="8" t="inlineStr">
        <is>
          <t>P1</t>
        </is>
      </c>
      <c r="D108" s="7" t="inlineStr">
        <is>
          <t>Upgrade… button appears on active licences only</t>
        </is>
      </c>
      <c r="E108" s="7" t="inlineStr">
        <is>
          <t>Licences list with active + suspended + trial rows</t>
        </is>
      </c>
      <c r="F108" s="7" t="inlineStr">
        <is>
          <t>1. Central admin → Licences
2. Compare rows</t>
        </is>
      </c>
      <c r="G108" s="7" t="inlineStr">
        <is>
          <t>Active subscription &amp; perpetual rows show Upgrade…; suspended/expired/trial rows do not</t>
        </is>
      </c>
      <c r="H108" s="9" t="inlineStr"/>
      <c r="I108" s="7" t="inlineStr"/>
      <c r="J108" s="9" t="inlineStr"/>
      <c r="K108" s="7" t="inlineStr"/>
    </row>
    <row r="109">
      <c r="A109" s="6" t="inlineStr">
        <is>
          <t>TC-3B02</t>
        </is>
      </c>
      <c r="B109" s="7" t="inlineStr">
        <is>
          <t>Admin billed upgrade — cloud subscription — licence change flows (S5)</t>
        </is>
      </c>
      <c r="C109" s="8" t="inlineStr">
        <is>
          <t>P1</t>
        </is>
      </c>
      <c r="D109" s="7" t="inlineStr">
        <is>
          <t>Pro-rata order raised with GST paper trail</t>
        </is>
      </c>
      <c r="E109" s="7" t="inlineStr">
        <is>
          <t>Active annual cloud subscription, e.g. 25 users, months remaining</t>
        </is>
      </c>
      <c r="F109" s="7" t="inlineStr">
        <is>
          <t>1. Upgrade… → new total 30 → Raise upgrade order</t>
        </is>
      </c>
      <c r="G109" s="7" t="inlineStr">
        <is>
          <t>Order number returned; description 'Mid-period upgrade 25 → 30 users — pro-rata for N remaining day(s)'; total = diff/month × remaining months + 18% GST; pay link copyable</t>
        </is>
      </c>
      <c r="H109" s="9" t="inlineStr"/>
      <c r="I109" s="7" t="inlineStr"/>
      <c r="J109" s="9" t="inlineStr"/>
      <c r="K109" s="7" t="inlineStr"/>
    </row>
    <row r="110">
      <c r="A110" s="6" t="inlineStr">
        <is>
          <t>TC-3B03</t>
        </is>
      </c>
      <c r="B110" s="7" t="inlineStr">
        <is>
          <t>Admin billed upgrade — cloud subscription — licence change flows (S5)</t>
        </is>
      </c>
      <c r="C110" s="8" t="inlineStr">
        <is>
          <t>P1</t>
        </is>
      </c>
      <c r="D110" s="7" t="inlineStr">
        <is>
          <t>Recording payment applies the new limit instantly</t>
        </is>
      </c>
      <c r="E110" s="7" t="inlineStr">
        <is>
          <t>Upgrade order from previous case</t>
        </is>
      </c>
      <c r="F110" s="7" t="inlineStr">
        <is>
          <t>1. Billing → the order → Record payment (full)
2. Licences list</t>
        </is>
      </c>
      <c r="G110" s="7" t="inlineStr">
        <is>
          <t>Licence shows the new limit; expiry date UNCHANGED; licence History shows upgrade_order + order paid; GST invoice issued in the shared series</t>
        </is>
      </c>
      <c r="H110" s="9" t="inlineStr"/>
      <c r="I110" s="7" t="inlineStr"/>
      <c r="J110" s="9" t="inlineStr"/>
      <c r="K110" s="7" t="inlineStr"/>
    </row>
    <row r="111">
      <c r="A111" s="6" t="inlineStr">
        <is>
          <t>TC-3B04</t>
        </is>
      </c>
      <c r="B111" s="7" t="inlineStr">
        <is>
          <t>Admin billed upgrade — cloud subscription — licence change flows (S5)</t>
        </is>
      </c>
      <c r="C111" s="10" t="inlineStr">
        <is>
          <t>P2</t>
        </is>
      </c>
      <c r="D111" s="7" t="inlineStr">
        <is>
          <t>Reduction attempt rejected with guidance</t>
        </is>
      </c>
      <c r="E111" s="7" t="inlineStr">
        <is>
          <t>Active 30-user subscription</t>
        </is>
      </c>
      <c r="F111" s="7" t="inlineStr">
        <is>
          <t>1. Upgrade… → enter 20</t>
        </is>
      </c>
      <c r="G111" s="7" t="inlineStr">
        <is>
          <t>422: 'Enter a user count higher than the current 30 — reductions apply at renewal, not mid-period'</t>
        </is>
      </c>
      <c r="H111" s="9" t="inlineStr"/>
      <c r="I111" s="7" t="inlineStr"/>
      <c r="J111" s="9" t="inlineStr"/>
      <c r="K111" s="7" t="inlineStr"/>
    </row>
    <row r="112">
      <c r="A112" s="6" t="inlineStr">
        <is>
          <t>TC-3B05</t>
        </is>
      </c>
      <c r="B112" s="7" t="inlineStr">
        <is>
          <t>Admin billed upgrade — cloud subscription — licence change flows (S5)</t>
        </is>
      </c>
      <c r="C112" s="10" t="inlineStr">
        <is>
          <t>P2</t>
        </is>
      </c>
      <c r="D112" s="7" t="inlineStr">
        <is>
          <t>Expired-period subscription refused (renew instead)</t>
        </is>
      </c>
      <c r="E112" s="7" t="inlineStr">
        <is>
          <t>Subscription past expiry</t>
        </is>
      </c>
      <c r="F112" s="7" t="inlineStr">
        <is>
          <t>1. Upgrade… → any higher count</t>
        </is>
      </c>
      <c r="G112" s="7" t="inlineStr">
        <is>
          <t>422: 'no remaining period — use Renew instead'</t>
        </is>
      </c>
      <c r="H112" s="9" t="inlineStr"/>
      <c r="I112" s="7" t="inlineStr"/>
      <c r="J112" s="9" t="inlineStr"/>
      <c r="K112" s="7" t="inlineStr"/>
    </row>
    <row r="113">
      <c r="A113" s="4" t="inlineStr">
        <is>
          <t>3C. Admin billed upgrade — perpetual — licence change flows (S5)</t>
        </is>
      </c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</row>
    <row r="114">
      <c r="A114" s="6" t="inlineStr">
        <is>
          <t>TC-3C01</t>
        </is>
      </c>
      <c r="B114" s="7" t="inlineStr">
        <is>
          <t>Admin billed upgrade — perpetual — licence change flows (S5)</t>
        </is>
      </c>
      <c r="C114" s="8" t="inlineStr">
        <is>
          <t>P1</t>
        </is>
      </c>
      <c r="D114" s="7" t="inlineStr">
        <is>
          <t>Exact interpolated difference on example bands</t>
        </is>
      </c>
      <c r="E114" s="7" t="inlineStr">
        <is>
          <t>Perpetual licence 15 users; bands 15→₹15k, 30→₹25k configured</t>
        </is>
      </c>
      <c r="F114" s="7" t="inlineStr">
        <is>
          <t>1. Upgrade… on the perpetual row → 30 users → Raise order</t>
        </is>
      </c>
      <c r="G114" s="7" t="inlineStr">
        <is>
          <t>Subtotal exactly ₹10,000; GST ₹1,800; total ₹11,800; description 'Lifetime licence upgrade 15 → 30 users — one-time price difference'</t>
        </is>
      </c>
      <c r="H114" s="9" t="inlineStr"/>
      <c r="I114" s="7" t="inlineStr"/>
      <c r="J114" s="9" t="inlineStr"/>
      <c r="K114" s="7" t="inlineStr"/>
    </row>
    <row r="115">
      <c r="A115" s="6" t="inlineStr">
        <is>
          <t>TC-3C02</t>
        </is>
      </c>
      <c r="B115" s="7" t="inlineStr">
        <is>
          <t>Admin billed upgrade — perpetual — licence change flows (S5)</t>
        </is>
      </c>
      <c r="C115" s="8" t="inlineStr">
        <is>
          <t>P1</t>
        </is>
      </c>
      <c r="D115" s="7" t="inlineStr">
        <is>
          <t>Payment raises limit; AMC re-bases next cycle</t>
        </is>
      </c>
      <c r="E115" s="7" t="inlineStr">
        <is>
          <t>Order from previous case</t>
        </is>
      </c>
      <c r="F115" s="7" t="inlineStr">
        <is>
          <t>1. Record payment
2. Later: raise AMC quote for this client</t>
        </is>
      </c>
      <c r="G115" s="7" t="inlineStr">
        <is>
          <t>device_limit = 30 immediately; the NEXT AMC quote prices 18% of the 30-user interpolated price (amcQuote reads prevailing count)</t>
        </is>
      </c>
      <c r="H115" s="9" t="inlineStr"/>
      <c r="I115" s="7" t="inlineStr"/>
      <c r="J115" s="9" t="inlineStr"/>
      <c r="K115" s="7" t="inlineStr"/>
    </row>
    <row r="116">
      <c r="A116" s="6" t="inlineStr">
        <is>
          <t>TC-3C03</t>
        </is>
      </c>
      <c r="B116" s="7" t="inlineStr">
        <is>
          <t>Admin billed upgrade — perpetual — licence change flows (S5)</t>
        </is>
      </c>
      <c r="C116" s="8" t="inlineStr">
        <is>
          <t>P1</t>
        </is>
      </c>
      <c r="D116" s="7" t="inlineStr">
        <is>
          <t>Above priced bands → custom quote, never a price</t>
        </is>
      </c>
      <c r="E116" s="7" t="inlineStr">
        <is>
          <t>Bands end at 100 users</t>
        </is>
      </c>
      <c r="F116" s="7" t="inlineStr">
        <is>
          <t>1. Upgrade… → 150 users</t>
        </is>
      </c>
      <c r="G116" s="7" t="inlineStr">
        <is>
          <t>422 custom-quotation message with WhatsApp number; NO order created; ₹0 impossible</t>
        </is>
      </c>
      <c r="H116" s="9" t="inlineStr"/>
      <c r="I116" s="7" t="inlineStr"/>
      <c r="J116" s="9" t="inlineStr"/>
      <c r="K116" s="7" t="inlineStr"/>
    </row>
    <row r="117">
      <c r="A117" s="6" t="inlineStr">
        <is>
          <t>TC-3C04</t>
        </is>
      </c>
      <c r="B117" s="7" t="inlineStr">
        <is>
          <t>Admin billed upgrade — perpetual — licence change flows (S5)</t>
        </is>
      </c>
      <c r="C117" s="10" t="inlineStr">
        <is>
          <t>P2</t>
        </is>
      </c>
      <c r="D117" s="7" t="inlineStr">
        <is>
          <t>Perpetual reduction rejected</t>
        </is>
      </c>
      <c r="E117" s="7" t="inlineStr">
        <is>
          <t>Perpetual 30 users</t>
        </is>
      </c>
      <c r="F117" s="7" t="inlineStr">
        <is>
          <t>1. Upgrade… → 20</t>
        </is>
      </c>
      <c r="G117" s="7" t="inlineStr">
        <is>
          <t>422: 'a lifetime licence never reduces once purchased'</t>
        </is>
      </c>
      <c r="H117" s="9" t="inlineStr"/>
      <c r="I117" s="7" t="inlineStr"/>
      <c r="J117" s="9" t="inlineStr"/>
      <c r="K117" s="7" t="inlineStr"/>
    </row>
    <row r="118">
      <c r="A118" s="6" t="inlineStr">
        <is>
          <t>TC-3C05</t>
        </is>
      </c>
      <c r="B118" s="7" t="inlineStr">
        <is>
          <t>Admin billed upgrade — perpetual — licence change flows (S5)</t>
        </is>
      </c>
      <c r="C118" s="10" t="inlineStr">
        <is>
          <t>P2</t>
        </is>
      </c>
      <c r="D118" s="7" t="inlineStr">
        <is>
          <t>Modal wording is kind-aware</t>
        </is>
      </c>
      <c r="E118" s="7" t="inlineStr">
        <is>
          <t>-</t>
        </is>
      </c>
      <c r="F118" s="7" t="inlineStr">
        <is>
          <t>1. Open Upgrade… on a subscription, then on a perpetual</t>
        </is>
      </c>
      <c r="G118" s="7" t="inlineStr">
        <is>
          <t>Subscription modal explains pro-rata/expiry-unchanged; perpetual modal explains one-time difference + .lic re-issue note</t>
        </is>
      </c>
      <c r="H118" s="9" t="inlineStr"/>
      <c r="I118" s="7" t="inlineStr"/>
      <c r="J118" s="9" t="inlineStr"/>
      <c r="K118" s="7" t="inlineStr"/>
    </row>
    <row r="119">
      <c r="A119" s="4" t="inlineStr">
        <is>
          <t>3D. Downgrade-at-renewal — admin side — licence change flows (S5)</t>
        </is>
      </c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</row>
    <row r="120">
      <c r="A120" s="6" t="inlineStr">
        <is>
          <t>TC-3D01</t>
        </is>
      </c>
      <c r="B120" s="7" t="inlineStr">
        <is>
          <t>Downgrade-at-renewal — admin side — licence change flows (S5)</t>
        </is>
      </c>
      <c r="C120" s="8" t="inlineStr">
        <is>
          <t>P1</t>
        </is>
      </c>
      <c r="D120" s="7" t="inlineStr">
        <is>
          <t>Edit licence schedules a reduction</t>
        </is>
      </c>
      <c r="E120" s="7" t="inlineStr">
        <is>
          <t>Active 40-user subscription</t>
        </is>
      </c>
      <c r="F120" s="7" t="inlineStr">
        <is>
          <t>1. Edit → 'Reduce to (at next renewal)' = 25 → Save
2. Licences list</t>
        </is>
      </c>
      <c r="G120" s="7" t="inlineStr">
        <is>
          <t>Saved; row shows amber '↓ 25 at renewal'; History shows licence.edited with renewal_device_limit</t>
        </is>
      </c>
      <c r="H120" s="9" t="inlineStr"/>
      <c r="I120" s="7" t="inlineStr"/>
      <c r="J120" s="9" t="inlineStr"/>
      <c r="K120" s="7" t="inlineStr"/>
    </row>
    <row r="121">
      <c r="A121" s="6" t="inlineStr">
        <is>
          <t>TC-3D02</t>
        </is>
      </c>
      <c r="B121" s="7" t="inlineStr">
        <is>
          <t>Downgrade-at-renewal — admin side — licence change flows (S5)</t>
        </is>
      </c>
      <c r="C121" s="8" t="inlineStr">
        <is>
          <t>P1</t>
        </is>
      </c>
      <c r="D121" s="7" t="inlineStr">
        <is>
          <t>Guard: not below devices in use</t>
        </is>
      </c>
      <c r="E121" s="7" t="inlineStr">
        <is>
          <t>Licence with 10 active devices</t>
        </is>
      </c>
      <c r="F121" s="7" t="inlineStr">
        <is>
          <t>1. Edit → reduction = 5 → Save</t>
        </is>
      </c>
      <c r="G121" s="7" t="inlineStr">
        <is>
          <t>422: 'Scheduled reduction is below the devices currently in use — free seats first'</t>
        </is>
      </c>
      <c r="H121" s="9" t="inlineStr"/>
      <c r="I121" s="7" t="inlineStr"/>
      <c r="J121" s="9" t="inlineStr"/>
      <c r="K121" s="7" t="inlineStr"/>
    </row>
    <row r="122">
      <c r="A122" s="6" t="inlineStr">
        <is>
          <t>TC-3D03</t>
        </is>
      </c>
      <c r="B122" s="7" t="inlineStr">
        <is>
          <t>Downgrade-at-renewal — admin side — licence change flows (S5)</t>
        </is>
      </c>
      <c r="C122" s="10" t="inlineStr">
        <is>
          <t>P2</t>
        </is>
      </c>
      <c r="D122" s="7" t="inlineStr">
        <is>
          <t>Blank clears the schedule</t>
        </is>
      </c>
      <c r="E122" s="7" t="inlineStr">
        <is>
          <t>Schedule set</t>
        </is>
      </c>
      <c r="F122" s="7" t="inlineStr">
        <is>
          <t>1. Edit → clear the field → Save</t>
        </is>
      </c>
      <c r="G122" s="7" t="inlineStr">
        <is>
          <t>renewal_device_limit NULL; badge gone</t>
        </is>
      </c>
      <c r="H122" s="9" t="inlineStr"/>
      <c r="I122" s="7" t="inlineStr"/>
      <c r="J122" s="9" t="inlineStr"/>
      <c r="K122" s="7" t="inlineStr"/>
    </row>
    <row r="123">
      <c r="A123" s="4" t="inlineStr">
        <is>
          <t>3E. Downgrade-at-renewal — portal + billing — licence change flows (S5)</t>
        </is>
      </c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</row>
    <row r="124">
      <c r="A124" s="6" t="inlineStr">
        <is>
          <t>TC-3E01</t>
        </is>
      </c>
      <c r="B124" s="7" t="inlineStr">
        <is>
          <t>Downgrade-at-renewal — portal + billing — licence change flows (S5)</t>
        </is>
      </c>
      <c r="C124" s="8" t="inlineStr">
        <is>
          <t>P1</t>
        </is>
      </c>
      <c r="D124" s="7" t="inlineStr">
        <is>
          <t>Portal card schedules a reduction</t>
        </is>
      </c>
      <c r="E124" s="7" t="inlineStr">
        <is>
          <t>Client portal login; active 40-user subscription; 3 devices in use</t>
        </is>
      </c>
      <c r="F124" s="7" t="inlineStr">
        <is>
          <t>1. Buy &amp; Renew → 'Reduce users at next renewal' → 25 → Schedule</t>
        </is>
      </c>
      <c r="G124" s="7" t="inlineStr">
        <is>
          <t>Toast confirms; card shows 'Scheduled: your next renewal reduces to 25 users'; Cancel button appears; audit client.schedule_reduction</t>
        </is>
      </c>
      <c r="H124" s="9" t="inlineStr"/>
      <c r="I124" s="7" t="inlineStr"/>
      <c r="J124" s="9" t="inlineStr"/>
      <c r="K124" s="7" t="inlineStr"/>
    </row>
    <row r="125">
      <c r="A125" s="6" t="inlineStr">
        <is>
          <t>TC-3E02</t>
        </is>
      </c>
      <c r="B125" s="7" t="inlineStr">
        <is>
          <t>Downgrade-at-renewal — portal + billing — licence change flows (S5)</t>
        </is>
      </c>
      <c r="C125" s="8" t="inlineStr">
        <is>
          <t>P1</t>
        </is>
      </c>
      <c r="D125" s="7" t="inlineStr">
        <is>
          <t>Renewal order bills the REDUCED size</t>
        </is>
      </c>
      <c r="E125" s="7" t="inlineStr">
        <is>
          <t>Schedule = 25 on a 40-user licence</t>
        </is>
      </c>
      <c r="F125" s="7" t="inlineStr">
        <is>
          <t>1. Portal → Renew now (or admin raises renewal)
2. Inspect order</t>
        </is>
      </c>
      <c r="G125" s="7" t="inlineStr">
        <is>
          <t>Order line priced for 25 devices; description contains '25 devices' + 'scheduled reduction from 40 users applies on payment'; meta apply_device_limit = 25</t>
        </is>
      </c>
      <c r="H125" s="9" t="inlineStr"/>
      <c r="I125" s="7" t="inlineStr"/>
      <c r="J125" s="9" t="inlineStr"/>
      <c r="K125" s="7" t="inlineStr"/>
    </row>
    <row r="126">
      <c r="A126" s="6" t="inlineStr">
        <is>
          <t>TC-3E03</t>
        </is>
      </c>
      <c r="B126" s="7" t="inlineStr">
        <is>
          <t>Downgrade-at-renewal — portal + billing — licence change flows (S5)</t>
        </is>
      </c>
      <c r="C126" s="8" t="inlineStr">
        <is>
          <t>P1</t>
        </is>
      </c>
      <c r="D126" s="7" t="inlineStr">
        <is>
          <t>Payment applies reduction and clears schedule</t>
        </is>
      </c>
      <c r="E126" s="7" t="inlineStr">
        <is>
          <t>Renewal order from previous case</t>
        </is>
      </c>
      <c r="F126" s="7" t="inlineStr">
        <is>
          <t>1. Record payment / pay
2. Check licence</t>
        </is>
      </c>
      <c r="G126" s="7" t="inlineStr">
        <is>
          <t>device_limit = 25; renewal_device_limit = NULL; expiry extended one period; portal card no longer shows a schedule</t>
        </is>
      </c>
      <c r="H126" s="9" t="inlineStr"/>
      <c r="I126" s="7" t="inlineStr"/>
      <c r="J126" s="9" t="inlineStr"/>
      <c r="K126" s="7" t="inlineStr"/>
    </row>
    <row r="127">
      <c r="A127" s="6" t="inlineStr">
        <is>
          <t>TC-3E04</t>
        </is>
      </c>
      <c r="B127" s="7" t="inlineStr">
        <is>
          <t>Downgrade-at-renewal — portal + billing — licence change flows (S5)</t>
        </is>
      </c>
      <c r="C127" s="10" t="inlineStr">
        <is>
          <t>P2</t>
        </is>
      </c>
      <c r="D127" s="7" t="inlineStr">
        <is>
          <t>Portal guard: not a reduction / below devices in use</t>
        </is>
      </c>
      <c r="E127" s="7" t="inlineStr">
        <is>
          <t>40-user licence, 3 devices in use</t>
        </is>
      </c>
      <c r="F127" s="7" t="inlineStr">
        <is>
          <t>1. Try scheduling 45
2. Try scheduling 2</t>
        </is>
      </c>
      <c r="G127" s="7" t="inlineStr">
        <is>
          <t>45 → 'That is not a reduction — use the mid-period upgrade'; 2 → 'You currently have 3 device(s) in use…'</t>
        </is>
      </c>
      <c r="H127" s="9" t="inlineStr"/>
      <c r="I127" s="7" t="inlineStr"/>
      <c r="J127" s="9" t="inlineStr"/>
      <c r="K127" s="7" t="inlineStr"/>
    </row>
    <row r="128">
      <c r="A128" s="6" t="inlineStr">
        <is>
          <t>TC-3E05</t>
        </is>
      </c>
      <c r="B128" s="7" t="inlineStr">
        <is>
          <t>Downgrade-at-renewal — portal + billing — licence change flows (S5)</t>
        </is>
      </c>
      <c r="C128" s="10" t="inlineStr">
        <is>
          <t>P2</t>
        </is>
      </c>
      <c r="D128" s="7" t="inlineStr">
        <is>
          <t>Cancel schedule works</t>
        </is>
      </c>
      <c r="E128" s="7" t="inlineStr">
        <is>
          <t>Schedule set</t>
        </is>
      </c>
      <c r="F128" s="7" t="inlineStr">
        <is>
          <t>1. Portal card → Cancel schedule</t>
        </is>
      </c>
      <c r="G128" s="7" t="inlineStr">
        <is>
          <t>renewal_device_limit NULL; message 'renewals bill your current size again'</t>
        </is>
      </c>
      <c r="H128" s="9" t="inlineStr"/>
      <c r="I128" s="7" t="inlineStr"/>
      <c r="J128" s="9" t="inlineStr"/>
      <c r="K128" s="7" t="inlineStr"/>
    </row>
    <row r="129">
      <c r="A129" s="6" t="inlineStr">
        <is>
          <t>TC-3E06</t>
        </is>
      </c>
      <c r="B129" s="7" t="inlineStr">
        <is>
          <t>Downgrade-at-renewal — portal + billing — licence change flows (S5)</t>
        </is>
      </c>
      <c r="C129" s="10" t="inlineStr">
        <is>
          <t>P2</t>
        </is>
      </c>
      <c r="D129" s="7" t="inlineStr">
        <is>
          <t>Perpetual cannot schedule a reduction</t>
        </is>
      </c>
      <c r="E129" s="7" t="inlineStr">
        <is>
          <t>Perpetual licence id</t>
        </is>
      </c>
      <c r="F129" s="7" t="inlineStr">
        <is>
          <t>1. POST client/api/licences/{id}/schedule-reduction devices=10</t>
        </is>
      </c>
      <c r="G129" s="7" t="inlineStr">
        <is>
          <t>422: 'Only Cloud subscriptions reduce at renewal — a lifetime licence never reduces once purchased'</t>
        </is>
      </c>
      <c r="H129" s="9" t="inlineStr"/>
      <c r="I129" s="7" t="inlineStr"/>
      <c r="J129" s="9" t="inlineStr"/>
      <c r="K129" s="7" t="inlineStr"/>
    </row>
    <row r="130">
      <c r="A130" s="6" t="inlineStr">
        <is>
          <t>TC-3E07</t>
        </is>
      </c>
      <c r="B130" s="7" t="inlineStr">
        <is>
          <t>Downgrade-at-renewal — portal + billing — licence change flows (S5)</t>
        </is>
      </c>
      <c r="C130" s="6" t="inlineStr">
        <is>
          <t>P3</t>
        </is>
      </c>
      <c r="D130" s="7" t="inlineStr">
        <is>
          <t>Renewal without schedule unchanged (regression)</t>
        </is>
      </c>
      <c r="E130" s="7" t="inlineStr">
        <is>
          <t>No schedule</t>
        </is>
      </c>
      <c r="F130" s="7" t="inlineStr">
        <is>
          <t>1. Renew and pay</t>
        </is>
      </c>
      <c r="G130" s="7" t="inlineStr">
        <is>
          <t>Billed at current size; limit unchanged; identical to pre-change behaviour</t>
        </is>
      </c>
      <c r="H130" s="9" t="inlineStr"/>
      <c r="I130" s="7" t="inlineStr"/>
      <c r="J130" s="9" t="inlineStr"/>
      <c r="K130" s="7" t="inlineStr"/>
    </row>
    <row r="131">
      <c r="A131" s="4" t="inlineStr">
        <is>
          <t>3F. Portal upgrade cards &amp; visibility — licence change flows (S5)</t>
        </is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</row>
    <row r="132">
      <c r="A132" s="6" t="inlineStr">
        <is>
          <t>TC-3F01</t>
        </is>
      </c>
      <c r="B132" s="7" t="inlineStr">
        <is>
          <t>Portal upgrade cards &amp; visibility — licence change flows (S5)</t>
        </is>
      </c>
      <c r="C132" s="8" t="inlineStr">
        <is>
          <t>P1</t>
        </is>
      </c>
      <c r="D132" s="7" t="inlineStr">
        <is>
          <t>Perpetual tenant sees lifetime upgrade card</t>
        </is>
      </c>
      <c r="E132" s="7" t="inlineStr">
        <is>
          <t>Portal login of a perpetual client (active)</t>
        </is>
      </c>
      <c r="F132" s="7" t="inlineStr">
        <is>
          <t>1. Buy &amp; Renew</t>
        </is>
      </c>
      <c r="G132" s="7" t="inlineStr">
        <is>
          <t>'Add users to your lifetime licence' card with one-time-difference wording + never-reduces note; Get upgrade amount &amp; pay works end-to-end via pay page</t>
        </is>
      </c>
      <c r="H132" s="9" t="inlineStr"/>
      <c r="I132" s="7" t="inlineStr"/>
      <c r="J132" s="9" t="inlineStr"/>
      <c r="K132" s="7" t="inlineStr"/>
    </row>
    <row r="133">
      <c r="A133" s="6" t="inlineStr">
        <is>
          <t>TC-3F02</t>
        </is>
      </c>
      <c r="B133" s="7" t="inlineStr">
        <is>
          <t>Portal upgrade cards &amp; visibility — licence change flows (S5)</t>
        </is>
      </c>
      <c r="C133" s="8" t="inlineStr">
        <is>
          <t>P1</t>
        </is>
      </c>
      <c r="D133" s="7" t="inlineStr">
        <is>
          <t>Cloud tenant still sees pro-rata card (regression)</t>
        </is>
      </c>
      <c r="E133" s="7" t="inlineStr">
        <is>
          <t>Active cloud subscription with days remaining</t>
        </is>
      </c>
      <c r="F133" s="7" t="inlineStr">
        <is>
          <t>1. Buy &amp; Renew</t>
        </is>
      </c>
      <c r="G133" s="7" t="inlineStr">
        <is>
          <t>'Add users mid-period (pro-rata)' card exactly as before; payment raises seats instantly</t>
        </is>
      </c>
      <c r="H133" s="9" t="inlineStr"/>
      <c r="I133" s="7" t="inlineStr"/>
      <c r="J133" s="9" t="inlineStr"/>
      <c r="K133" s="7" t="inlineStr"/>
    </row>
    <row r="134">
      <c r="A134" s="6" t="inlineStr">
        <is>
          <t>TC-3F03</t>
        </is>
      </c>
      <c r="B134" s="7" t="inlineStr">
        <is>
          <t>Portal upgrade cards &amp; visibility — licence change flows (S5)</t>
        </is>
      </c>
      <c r="C134" s="10" t="inlineStr">
        <is>
          <t>P2</t>
        </is>
      </c>
      <c r="D134" s="7" t="inlineStr">
        <is>
          <t>Why-not note replaces silence</t>
        </is>
      </c>
      <c r="E134" s="7" t="inlineStr">
        <is>
          <t>Trial tenant portal; then an expired tenant</t>
        </is>
      </c>
      <c r="F134" s="7" t="inlineStr">
        <is>
          <t>1. Buy &amp; Renew on each</t>
        </is>
      </c>
      <c r="G134" s="7" t="inlineStr">
        <is>
          <t>Trial: 'Trials upgrade by buying a plan below…'; expired: 'Your licence is expired — renew or contact us…' — never a blank page</t>
        </is>
      </c>
      <c r="H134" s="9" t="inlineStr"/>
      <c r="I134" s="7" t="inlineStr"/>
      <c r="J134" s="9" t="inlineStr"/>
      <c r="K134" s="7" t="inlineStr"/>
    </row>
    <row r="135">
      <c r="A135" s="6" t="inlineStr">
        <is>
          <t>TC-3F04</t>
        </is>
      </c>
      <c r="B135" s="7" t="inlineStr">
        <is>
          <t>Portal upgrade cards &amp; visibility — licence change flows (S5)</t>
        </is>
      </c>
      <c r="C135" s="10" t="inlineStr">
        <is>
          <t>P2</t>
        </is>
      </c>
      <c r="D135" s="7" t="inlineStr">
        <is>
          <t>Portal upgrade endpoint branches by kind</t>
        </is>
      </c>
      <c r="E135" s="7" t="inlineStr">
        <is>
          <t>Perpetual licence via API</t>
        </is>
      </c>
      <c r="F135" s="7" t="inlineStr">
        <is>
          <t>1. POST client/api/licences/{id}/upgrade devices=30</t>
        </is>
      </c>
      <c r="G135" s="7" t="inlineStr">
        <is>
          <t>Order created via createPerpetualUpgradeOrder (description says lifetime price difference), not the pro-rata engine</t>
        </is>
      </c>
      <c r="H135" s="9" t="inlineStr"/>
      <c r="I135" s="7" t="inlineStr"/>
      <c r="J135" s="9" t="inlineStr"/>
      <c r="K135" s="7" t="inlineStr"/>
    </row>
    <row r="136">
      <c r="A136" s="4" t="inlineStr">
        <is>
          <t>3G. Self-service .lic re-download — licence change flows (S5)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</row>
    <row r="137">
      <c r="A137" s="6" t="inlineStr">
        <is>
          <t>TC-3G01</t>
        </is>
      </c>
      <c r="B137" s="7" t="inlineStr">
        <is>
          <t>Self-service .lic re-download — licence change flows (S5)</t>
        </is>
      </c>
      <c r="C137" s="8" t="inlineStr">
        <is>
          <t>P1</t>
        </is>
      </c>
      <c r="D137" s="7" t="inlineStr">
        <is>
          <t>Bound licence downloads a fresh signed .lic</t>
        </is>
      </c>
      <c r="E137" s="7" t="inlineStr">
        <is>
          <t>Client-hosted active licence WITH server_fingerprint; portal login</t>
        </is>
      </c>
      <c r="F137" s="7" t="inlineStr">
        <is>
          <t>1. Portal → Licences → Download licence file (.lic)
2. Import on the product Licence screen</t>
        </is>
      </c>
      <c r="G137" s="7" t="inlineStr">
        <is>
          <t>File downloads (correct filename); product imports and activates; bundle carries CURRENT device_limit; audit licence.file_issued by client:&lt;email&gt;</t>
        </is>
      </c>
      <c r="H137" s="9" t="inlineStr"/>
      <c r="I137" s="7" t="inlineStr"/>
      <c r="J137" s="9" t="inlineStr"/>
      <c r="K137" s="7" t="inlineStr"/>
    </row>
    <row r="138">
      <c r="A138" s="6" t="inlineStr">
        <is>
          <t>TC-3G02</t>
        </is>
      </c>
      <c r="B138" s="7" t="inlineStr">
        <is>
          <t>Self-service .lic re-download — licence change flows (S5)</t>
        </is>
      </c>
      <c r="C138" s="8" t="inlineStr">
        <is>
          <t>P1</t>
        </is>
      </c>
      <c r="D138" s="7" t="inlineStr">
        <is>
          <t>Unbound licence gets guidance, not a file</t>
        </is>
      </c>
      <c r="E138" s="7" t="inlineStr">
        <is>
          <t>Client-hosted licence with NO fingerprint</t>
        </is>
      </c>
      <c r="F138" s="7" t="inlineStr">
        <is>
          <t>1. Portal → Licences</t>
        </is>
      </c>
      <c r="G138" s="7" t="inlineStr">
        <is>
          <t>Message: 'available once your server has validated online once (or send us its fingerprint…)'; endpoint returns 422 if called directly</t>
        </is>
      </c>
      <c r="H138" s="9" t="inlineStr"/>
      <c r="I138" s="7" t="inlineStr"/>
      <c r="J138" s="9" t="inlineStr"/>
      <c r="K138" s="7" t="inlineStr"/>
    </row>
    <row r="139">
      <c r="A139" s="6" t="inlineStr">
        <is>
          <t>TC-3G03</t>
        </is>
      </c>
      <c r="B139" s="7" t="inlineStr">
        <is>
          <t>Self-service .lic re-download — licence change flows (S5)</t>
        </is>
      </c>
      <c r="C139" s="8" t="inlineStr">
        <is>
          <t>P1</t>
        </is>
      </c>
      <c r="D139" s="7" t="inlineStr">
        <is>
          <t>Client can NEVER set a new fingerprint</t>
        </is>
      </c>
      <c r="E139" s="7" t="inlineStr">
        <is>
          <t>Bound licence</t>
        </is>
      </c>
      <c r="F139" s="7" t="inlineStr">
        <is>
          <t>1. POST client/api/licences/{id}/license-file with a 'fingerprint' body field</t>
        </is>
      </c>
      <c r="G139" s="7" t="inlineStr">
        <is>
          <t>Field ignored — file is signed with the STORED fingerprint only; moving machines still requires admin Shift machine</t>
        </is>
      </c>
      <c r="H139" s="9" t="inlineStr"/>
      <c r="I139" s="7" t="inlineStr"/>
      <c r="J139" s="9" t="inlineStr"/>
      <c r="K139" s="7" t="inlineStr"/>
    </row>
    <row r="140">
      <c r="A140" s="6" t="inlineStr">
        <is>
          <t>TC-3G04</t>
        </is>
      </c>
      <c r="B140" s="7" t="inlineStr">
        <is>
          <t>Self-service .lic re-download — licence change flows (S5)</t>
        </is>
      </c>
      <c r="C140" s="10" t="inlineStr">
        <is>
          <t>P2</t>
        </is>
      </c>
      <c r="D140" s="7" t="inlineStr">
        <is>
          <t>Cloud-deployment client refused politely</t>
        </is>
      </c>
      <c r="E140" s="7" t="inlineStr">
        <is>
          <t>Cloud tenant portal</t>
        </is>
      </c>
      <c r="F140" s="7" t="inlineStr">
        <is>
          <t>1. Call the license-file endpoint</t>
        </is>
      </c>
      <c r="G140" s="7" t="inlineStr">
        <is>
          <t>422: 'Licence files are for self-hosted servers — your Cloud console is licensed automatically'</t>
        </is>
      </c>
      <c r="H140" s="9" t="inlineStr"/>
      <c r="I140" s="7" t="inlineStr"/>
      <c r="J140" s="9" t="inlineStr"/>
      <c r="K140" s="7" t="inlineStr"/>
    </row>
    <row r="141">
      <c r="A141" s="6" t="inlineStr">
        <is>
          <t>TC-3G05</t>
        </is>
      </c>
      <c r="B141" s="7" t="inlineStr">
        <is>
          <t>Self-service .lic re-download — licence change flows (S5)</t>
        </is>
      </c>
      <c r="C141" s="10" t="inlineStr">
        <is>
          <t>P2</t>
        </is>
      </c>
      <c r="D141" s="7" t="inlineStr">
        <is>
          <t>Post-upgrade .lic carries the new seat count</t>
        </is>
      </c>
      <c r="E141" s="7" t="inlineStr">
        <is>
          <t>Perpetual client upgraded 15→30 and paid</t>
        </is>
      </c>
      <c r="F141" s="7" t="inlineStr">
        <is>
          <t>1. Re-download .lic
2. Import on server</t>
        </is>
      </c>
      <c r="G141" s="7" t="inlineStr">
        <is>
          <t>Product Licence screen shows 25→30-seat entitlement (new device_limit) after import</t>
        </is>
      </c>
      <c r="H141" s="9" t="inlineStr"/>
      <c r="I141" s="7" t="inlineStr"/>
      <c r="J141" s="9" t="inlineStr"/>
      <c r="K141" s="7" t="inlineStr"/>
    </row>
    <row r="142">
      <c r="A142" s="6" t="inlineStr">
        <is>
          <t>TC-3G06</t>
        </is>
      </c>
      <c r="B142" s="7" t="inlineStr">
        <is>
          <t>Self-service .lic re-download — licence change flows (S5)</t>
        </is>
      </c>
      <c r="C142" s="10" t="inlineStr">
        <is>
          <t>P2</t>
        </is>
      </c>
      <c r="D142" s="7" t="inlineStr">
        <is>
          <t>Cross-tenant access blocked</t>
        </is>
      </c>
      <c r="E142" s="7" t="inlineStr">
        <is>
          <t>Two tenants; tenant B's licence id</t>
        </is>
      </c>
      <c r="F142" s="7" t="inlineStr">
        <is>
          <t>1. As tenant A, call license-file / upgrade / schedule-reduction on B's id</t>
        </is>
      </c>
      <c r="G142" s="7" t="inlineStr">
        <is>
          <t>404 on every endpoint (tenant scoping)</t>
        </is>
      </c>
      <c r="H142" s="9" t="inlineStr"/>
      <c r="I142" s="7" t="inlineStr"/>
      <c r="J142" s="9" t="inlineStr"/>
      <c r="K142" s="7" t="inlineStr"/>
    </row>
    <row r="143">
      <c r="A143" s="6" t="inlineStr">
        <is>
          <t>TC-3G07</t>
        </is>
      </c>
      <c r="B143" s="7" t="inlineStr">
        <is>
          <t>Self-service .lic re-download — licence change flows (S5)</t>
        </is>
      </c>
      <c r="C143" s="6" t="inlineStr">
        <is>
          <t>P3</t>
        </is>
      </c>
      <c r="D143" s="7" t="inlineStr">
        <is>
          <t>Admin Licence file button unchanged (regression)</t>
        </is>
      </c>
      <c r="E143" s="7" t="inlineStr">
        <is>
          <t>-</t>
        </is>
      </c>
      <c r="F143" s="7" t="inlineStr">
        <is>
          <t>1. Admin → Licences → Licence file (with and without stored fingerprint)</t>
        </is>
      </c>
      <c r="G143" s="7" t="inlineStr">
        <is>
          <t>Behaviour identical to 6-Aug build incl. fingerprint remembering and re-download</t>
        </is>
      </c>
      <c r="H143" s="9" t="inlineStr"/>
      <c r="I143" s="7" t="inlineStr"/>
      <c r="J143" s="9" t="inlineStr"/>
      <c r="K143" s="7" t="inlineStr"/>
    </row>
    <row r="144">
      <c r="A144" s="4" t="inlineStr">
        <is>
          <t>3H. Paper trail &amp; money regression — licence change flows (S5)</t>
        </is>
      </c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</row>
    <row r="145">
      <c r="A145" s="6" t="inlineStr">
        <is>
          <t>TC-3H01</t>
        </is>
      </c>
      <c r="B145" s="7" t="inlineStr">
        <is>
          <t>Paper trail &amp; money regression — licence change flows (S5)</t>
        </is>
      </c>
      <c r="C145" s="8" t="inlineStr">
        <is>
          <t>P1</t>
        </is>
      </c>
      <c r="D145" s="7" t="inlineStr">
        <is>
          <t>GST invoice issued in the shared series for upgrades</t>
        </is>
      </c>
      <c r="E145" s="7" t="inlineStr">
        <is>
          <t>Paid admin upgrade order</t>
        </is>
      </c>
      <c r="F145" s="7" t="inlineStr">
        <is>
          <t>1. Billing → Invoices</t>
        </is>
      </c>
      <c r="G145" s="7" t="inlineStr">
        <is>
          <t>Invoice numbered in the single EPT-{FY} series; amounts match order (subtotal/GST/total); appears in client portal invoices</t>
        </is>
      </c>
      <c r="H145" s="9" t="inlineStr"/>
      <c r="I145" s="7" t="inlineStr"/>
      <c r="J145" s="9" t="inlineStr"/>
      <c r="K145" s="7" t="inlineStr"/>
    </row>
    <row r="146">
      <c r="A146" s="6" t="inlineStr">
        <is>
          <t>TC-3H02</t>
        </is>
      </c>
      <c r="B146" s="7" t="inlineStr">
        <is>
          <t>Paper trail &amp; money regression — licence change flows (S5)</t>
        </is>
      </c>
      <c r="C146" s="8" t="inlineStr">
        <is>
          <t>P1</t>
        </is>
      </c>
      <c r="D146" s="7" t="inlineStr">
        <is>
          <t>History timeline complete</t>
        </is>
      </c>
      <c r="E146" s="7" t="inlineStr">
        <is>
          <t>Licence that was upgraded + scheduled + .lic-downloaded</t>
        </is>
      </c>
      <c r="F146" s="7" t="inlineStr">
        <is>
          <t>1. Admin → Licences → History</t>
        </is>
      </c>
      <c r="G146" s="7" t="inlineStr">
        <is>
          <t>Timeline shows upgrade_order, order paid, licence.edited (schedule), file_issued (client) — nothing missing</t>
        </is>
      </c>
      <c r="H146" s="9" t="inlineStr"/>
      <c r="I146" s="7" t="inlineStr"/>
      <c r="J146" s="9" t="inlineStr"/>
      <c r="K146" s="7" t="inlineStr"/>
    </row>
    <row r="147">
      <c r="A147" s="6" t="inlineStr">
        <is>
          <t>TC-3H03</t>
        </is>
      </c>
      <c r="B147" s="7" t="inlineStr">
        <is>
          <t>Paper trail &amp; money regression — licence change flows (S5)</t>
        </is>
      </c>
      <c r="C147" s="10" t="inlineStr">
        <is>
          <t>P2</t>
        </is>
      </c>
      <c r="D147" s="7" t="inlineStr">
        <is>
          <t>USD tenant upgrade converts currency</t>
        </is>
      </c>
      <c r="E147" s="7" t="inlineStr">
        <is>
          <t>Tenant with currency USD</t>
        </is>
      </c>
      <c r="F147" s="7" t="inlineStr">
        <is>
          <t>1. Raise an upgrade order</t>
        </is>
      </c>
      <c r="G147" s="7" t="inlineStr">
        <is>
          <t>Line converted at usd_inr_rate; GST 0 for USD; '(USD)' suffix on the line</t>
        </is>
      </c>
      <c r="H147" s="9" t="inlineStr"/>
      <c r="I147" s="7" t="inlineStr"/>
      <c r="J147" s="9" t="inlineStr"/>
      <c r="K147" s="7" t="inlineStr"/>
    </row>
    <row r="148">
      <c r="A148" s="6" t="inlineStr">
        <is>
          <t>TC-3H04</t>
        </is>
      </c>
      <c r="B148" s="7" t="inlineStr">
        <is>
          <t>Paper trail &amp; money regression — licence change flows (S5)</t>
        </is>
      </c>
      <c r="C148" s="10" t="inlineStr">
        <is>
          <t>P2</t>
        </is>
      </c>
      <c r="D148" s="7" t="inlineStr">
        <is>
          <t>Existing flows untouched (Central smoke)</t>
        </is>
      </c>
      <c r="E148" s="7" t="inlineStr">
        <is>
          <t>-</t>
        </is>
      </c>
      <c r="F148" s="7" t="inlineStr">
        <is>
          <t>1. php artisan test (full Central suite) or test.bat</t>
        </is>
      </c>
      <c r="G148" s="7" t="inlineStr">
        <is>
          <t>FinancialFlowTest, GstInvoiceTest, ClientPortalTest, CentralSmokeTest all green</t>
        </is>
      </c>
      <c r="H148" s="9" t="inlineStr"/>
      <c r="I148" s="7" t="inlineStr"/>
      <c r="J148" s="9" t="inlineStr"/>
      <c r="K148" s="7" t="inlineStr"/>
    </row>
    <row r="150">
      <c r="A150" s="11" t="inlineStr">
        <is>
          <t>Fill in: Result (dropdown), Tested By, Date, Notes. Sign-off rule: every P1 = Pass ⇒ the full 11–12 Aug body of work is approved on live. Any P1 = Fail ⇒ STOP and report to Ejaz with the Notes cell filled.</t>
        </is>
      </c>
    </row>
  </sheetData>
  <autoFilter ref="A4:K148"/>
  <mergeCells count="27">
    <mergeCell ref="A34:K34"/>
    <mergeCell ref="A83:K83"/>
    <mergeCell ref="A48:K48"/>
    <mergeCell ref="A30:K30"/>
    <mergeCell ref="A77:K77"/>
    <mergeCell ref="A107:K107"/>
    <mergeCell ref="A123:K123"/>
    <mergeCell ref="A1:K1"/>
    <mergeCell ref="A119:K119"/>
    <mergeCell ref="A41:K41"/>
    <mergeCell ref="A27:K27"/>
    <mergeCell ref="A136:K136"/>
    <mergeCell ref="A57:K57"/>
    <mergeCell ref="A113:K113"/>
    <mergeCell ref="A2:K2"/>
    <mergeCell ref="A71:K71"/>
    <mergeCell ref="A5:K5"/>
    <mergeCell ref="A17:K17"/>
    <mergeCell ref="A150:K150"/>
    <mergeCell ref="A144:K144"/>
    <mergeCell ref="A22:K22"/>
    <mergeCell ref="A97:K97"/>
    <mergeCell ref="A131:K131"/>
    <mergeCell ref="A63:K63"/>
    <mergeCell ref="A93:K93"/>
    <mergeCell ref="A13:K13"/>
    <mergeCell ref="A102:K102"/>
  </mergeCells>
  <dataValidations count="1">
    <dataValidation sqref="H5:H148" showDropDown="0" showInputMessage="0" showErrorMessage="0" allowBlank="1" type="list">
      <formula1>"Pass,Fail,Blocked,Not Tested"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2" t="inlineStr">
        <is>
          <t>Execution Summary — auto-computed from the Test Cases sheet</t>
        </is>
      </c>
    </row>
    <row r="3">
      <c r="A3" s="13" t="inlineStr">
        <is>
          <t>Metric</t>
        </is>
      </c>
      <c r="B3" s="13" t="inlineStr">
        <is>
          <t>Count</t>
        </is>
      </c>
    </row>
    <row r="4">
      <c r="A4" s="14" t="inlineStr">
        <is>
          <t>Total test cases</t>
        </is>
      </c>
      <c r="B4" s="15">
        <f>COUNTIF('Test Cases'!A5:A148,"TC-*")</f>
        <v/>
      </c>
    </row>
    <row r="5">
      <c r="A5" s="16" t="inlineStr">
        <is>
          <t>Part 1 (sessions 1–3)</t>
        </is>
      </c>
      <c r="B5" s="17">
        <f>COUNTIF('Test Cases'!A5:A148,"TC-1*")</f>
        <v/>
      </c>
    </row>
    <row r="6">
      <c r="A6" s="14" t="inlineStr">
        <is>
          <t>Part 2 (per-tenant licensing)</t>
        </is>
      </c>
      <c r="B6" s="15">
        <f>COUNTIF('Test Cases'!A5:A148,"TC-2*")</f>
        <v/>
      </c>
    </row>
    <row r="7">
      <c r="A7" s="16" t="inlineStr">
        <is>
          <t>Part 3 (licence change flows)</t>
        </is>
      </c>
      <c r="B7" s="17">
        <f>COUNTIF('Test Cases'!A5:A148,"TC-3*")</f>
        <v/>
      </c>
    </row>
    <row r="8">
      <c r="A8" s="14" t="inlineStr">
        <is>
          <t>P1 (must-pass)</t>
        </is>
      </c>
      <c r="B8" s="15">
        <f>COUNTIF('Test Cases'!C5:C148,"P1")</f>
        <v/>
      </c>
    </row>
    <row r="9">
      <c r="A9" s="16" t="inlineStr">
        <is>
          <t>P2</t>
        </is>
      </c>
      <c r="B9" s="17">
        <f>COUNTIF('Test Cases'!C5:C148,"P2")</f>
        <v/>
      </c>
    </row>
    <row r="10">
      <c r="A10" s="14" t="inlineStr">
        <is>
          <t>P3</t>
        </is>
      </c>
      <c r="B10" s="15">
        <f>COUNTIF('Test Cases'!C5:C148,"P3")</f>
        <v/>
      </c>
    </row>
    <row r="11">
      <c r="A11" s="16" t="inlineStr">
        <is>
          <t>Passed</t>
        </is>
      </c>
      <c r="B11" s="17">
        <f>COUNTIF('Test Cases'!H5:H148,"Pass")</f>
        <v/>
      </c>
    </row>
    <row r="12">
      <c r="A12" s="14" t="inlineStr">
        <is>
          <t>Failed</t>
        </is>
      </c>
      <c r="B12" s="15">
        <f>COUNTIF('Test Cases'!H5:H148,"Fail")</f>
        <v/>
      </c>
    </row>
    <row r="13">
      <c r="A13" s="16" t="inlineStr">
        <is>
          <t>Blocked</t>
        </is>
      </c>
      <c r="B13" s="17">
        <f>COUNTIF('Test Cases'!H5:H148,"Blocked")</f>
        <v/>
      </c>
    </row>
    <row r="14">
      <c r="A14" s="14" t="inlineStr">
        <is>
          <t>Not tested / blank</t>
        </is>
      </c>
      <c r="B14" s="15">
        <f>COUNTIF('Test Cases'!A5:A148,"TC-*")-COUNTIF('Test Cases'!H5:H148,"Pass")-COUNTIF('Test Cases'!H5:H148,"Fail")-COUNTIF('Test Cases'!H5:H148,"Blocked")</f>
        <v/>
      </c>
    </row>
    <row r="16">
      <c r="A16" s="11" t="inlineStr">
        <is>
          <t>Order of execution: Part 1 on LIVE after deploy · Parts 2–3 on local Laragon first, then repeat their P1s on live.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2026-08-12T21:30:09Z</dcterms:created>
  <dcterms:modified xmlns:dcterms="http://purl.org/dc/terms/" xmlns:xsi="http://www.w3.org/2001/XMLSchema-instance" xsi:type="dcterms:W3CDTF">2026-08-12T21:30:09Z</dcterms:modified>
</cp:coreProperties>
</file>