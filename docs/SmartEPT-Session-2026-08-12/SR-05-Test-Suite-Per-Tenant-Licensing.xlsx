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Cases'!$A$4:$K$72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<sst xmlns="http://schemas.openxmlformats.org/spreadsheetml/2006/main" count="442" uniqueCount="331">
  <si>
    <t xml:space="preserve">SmartEPT — Per-Tenant Licensing &amp; Tenants Screen · Test Case Suite</t>
  </si>
  <si>
    <t xml:space="preserve">SR-05 · 12 August 2026 · covers Product 1fcb7f7 + Central 76ddf09 · execute after SR-04 §12 deploy steps · Priorities: P1 must-pass before go-live, P2 within the week, P3 nice-to-verify</t>
  </si>
  <si>
    <t xml:space="preserve">TC ID</t>
  </si>
  <si>
    <t xml:space="preserve">Area</t>
  </si>
  <si>
    <t xml:space="preserve">Priority</t>
  </si>
  <si>
    <t xml:space="preserve">Title</t>
  </si>
  <si>
    <t xml:space="preserve">Preconditions</t>
  </si>
  <si>
    <t xml:space="preserve">Steps</t>
  </si>
  <si>
    <t xml:space="preserve">Expected Result</t>
  </si>
  <si>
    <t xml:space="preserve">Result</t>
  </si>
  <si>
    <t xml:space="preserve">Tested By</t>
  </si>
  <si>
    <t xml:space="preserve">Date</t>
  </si>
  <si>
    <t xml:space="preserve">Notes</t>
  </si>
  <si>
    <t xml:space="preserve">A. Migration &amp; data move</t>
  </si>
  <si>
    <t xml:space="preserve">TC-A01</t>
  </si>
  <si>
    <t xml:space="preserve">Migration &amp; data move</t>
  </si>
  <si>
    <t xml:space="preserve">P1</t>
  </si>
  <si>
    <t xml:space="preserve">Migration adds company_id and unique index cleanly</t>
  </si>
  <si>
    <t xml:space="preserve">Product repo at 1fcb7f7; DB backed up</t>
  </si>
  <si>
    <t xml:space="preserve">1. php artisan migrate
2. DESCRIBE installation_licenses</t>
  </si>
  <si>
    <t xml:space="preserve">Migration 2026_08_12_000400 runs without error; company_id column nullable BIGINT with UNIQUE index; no data lost</t>
  </si>
  <si>
    <t xml:space="preserve">TC-A02</t>
  </si>
  <si>
    <t xml:space="preserve">Khan key auto-moves to Khan's tenant row</t>
  </si>
  <si>
    <t xml:space="preserve">Install slot holds Khan's key; exactly one AMETECS_SAAS company named 'Khan Incorporation'</t>
  </si>
  <si>
    <t xml:space="preserve">1. Run migration
2. SELECT company_id, license_key FROM installation_licenses</t>
  </si>
  <si>
    <t xml:space="preserve">The existing row's company_id = Khan's company id; key, bundle, status preserved; no second row created</t>
  </si>
  <si>
    <t xml:space="preserve">TC-A03</t>
  </si>
  <si>
    <t xml:space="preserve">P2</t>
  </si>
  <si>
    <t xml:space="preserve">No-match safety (client-hosted shape)</t>
  </si>
  <si>
    <t xml:space="preserve">DB where bundle company name matches no AMETECS_SAAS company</t>
  </si>
  <si>
    <t xml:space="preserve">1. Run migration on such a DB (e.g. local seeded)</t>
  </si>
  <si>
    <t xml:space="preserve">Nothing moves: the licensed row keeps company_id NULL; behaviour identical to before</t>
  </si>
  <si>
    <t xml:space="preserve">TC-A04</t>
  </si>
  <si>
    <t xml:space="preserve">Ambiguity safety — two same-name SaaS companies</t>
  </si>
  <si>
    <t xml:space="preserve">Two AMETECS_SAAS companies with identical name; install slot keyed</t>
  </si>
  <si>
    <t xml:space="preserve">1. Run migration</t>
  </si>
  <si>
    <t xml:space="preserve">Move is skipped entirely (count != 1); no data changed</t>
  </si>
  <si>
    <t xml:space="preserve">TC-A05</t>
  </si>
  <si>
    <t xml:space="preserve">P3</t>
  </si>
  <si>
    <t xml:space="preserve">Migration down() reverses cleanly</t>
  </si>
  <si>
    <t xml:space="preserve">Migration applied</t>
  </si>
  <si>
    <t xml:space="preserve">1. php artisan migrate:rollback --step=1</t>
  </si>
  <si>
    <t xml:space="preserve">Unique index and company_id column dropped; table intact</t>
  </si>
  <si>
    <t xml:space="preserve">TC-A06</t>
  </si>
  <si>
    <t xml:space="preserve">Fresh install slot after key move</t>
  </si>
  <si>
    <t xml:space="preserve">Migration moved the key (Khan case)</t>
  </si>
  <si>
    <t xml:space="preserve">1. Open Licence screen as Super Admin
2. Check evaluation end date</t>
  </si>
  <si>
    <t xml:space="preserve">A fresh empty install row exists (created on first access); shows EVALUATION with 7 days from creation; agents of non-SaaS companies keep working during window</t>
  </si>
  <si>
    <t xml:space="preserve">B. Licence resolution model</t>
  </si>
  <si>
    <t xml:space="preserve">TC-B01</t>
  </si>
  <si>
    <t xml:space="preserve">Licence resolution model</t>
  </si>
  <si>
    <t xml:space="preserve">AMETECS_SAAS company governed by own row</t>
  </si>
  <si>
    <t xml:space="preserve">SaaS company exists</t>
  </si>
  <si>
    <t xml:space="preserve">1. tinker: InstallationLicense::governing($saasCompany)</t>
  </si>
  <si>
    <t xml:space="preserve">Returns row with company_id = that company; creates it empty on first call</t>
  </si>
  <si>
    <t xml:space="preserve">TC-B02</t>
  </si>
  <si>
    <t xml:space="preserve">Non-SaaS company governed by install row</t>
  </si>
  <si>
    <t xml:space="preserve">Company with deployment_model LAN/PRIVATE_CLOUD/HYBRID/null</t>
  </si>
  <si>
    <t xml:space="preserve">1. tinker: InstallationLicense::governing($company)</t>
  </si>
  <si>
    <t xml:space="preserve">Returns the install-level row (company_id NULL) — pre-existing behaviour</t>
  </si>
  <si>
    <t xml:space="preserve">TC-B03</t>
  </si>
  <si>
    <t xml:space="preserve">Null company (operator context) → install row</t>
  </si>
  <si>
    <t xml:space="preserve">-</t>
  </si>
  <si>
    <t xml:space="preserve">1. tinker: InstallationLicense::governing(null)</t>
  </si>
  <si>
    <t xml:space="preserve">Returns install-level row</t>
  </si>
  <si>
    <t xml:space="preserve">TC-B04</t>
  </si>
  <si>
    <t xml:space="preserve">forCompany is idempotent</t>
  </si>
  <si>
    <t xml:space="preserve">SaaS company</t>
  </si>
  <si>
    <t xml:space="preserve">1. Call InstallationLicense::forCompany($id) twice</t>
  </si>
  <si>
    <t xml:space="preserve">Same row id both times; created_at unchanged (evaluation clock stable)</t>
  </si>
  <si>
    <t xml:space="preserve">TC-B05</t>
  </si>
  <si>
    <t xml:space="preserve">Unique index blocks duplicate tenant rows</t>
  </si>
  <si>
    <t xml:space="preserve">Tenant row exists</t>
  </si>
  <si>
    <t xml:space="preserve">1. Attempt raw INSERT with same company_id</t>
  </si>
  <si>
    <t xml:space="preserve">MySQL rejects with duplicate-key error; app never creates duplicates (firstOrCreate)</t>
  </si>
  <si>
    <t xml:space="preserve">TC-B06</t>
  </si>
  <si>
    <t xml:space="preserve">current() ignores tenant rows</t>
  </si>
  <si>
    <t xml:space="preserve">Tenant rows exist</t>
  </si>
  <si>
    <t xml:space="preserve">1. tinker: InstallationLicense::current()</t>
  </si>
  <si>
    <t xml:space="preserve">Returns only the company_id-NULL row, never a tenant's</t>
  </si>
  <si>
    <t xml:space="preserve">C. Licence screen by role</t>
  </si>
  <si>
    <t xml:space="preserve">TC-C01</t>
  </si>
  <si>
    <t xml:space="preserve">Licence screen by role</t>
  </si>
  <si>
    <t xml:space="preserve">Cloud tenant admin sees own licence with scope line</t>
  </si>
  <si>
    <t xml:space="preserve">Khan admin login (via /khan or /admin console)</t>
  </si>
  <si>
    <t xml:space="preserve">1. Sign in as Khan COMPANY_ADMIN
2. Open Licence</t>
  </si>
  <si>
    <t xml:space="preserve">Scope row: 'This licence belongs to Khan Incorporation — issued and managed by SmartEPT Central'; Khan's masked key, plan, seats, expiry shown</t>
  </si>
  <si>
    <t xml:space="preserve">TC-C02</t>
  </si>
  <si>
    <t xml:space="preserve">Tenant admin Save &amp; validate writes own row only</t>
  </si>
  <si>
    <t xml:space="preserve">Khan admin; valid key from Central</t>
  </si>
  <si>
    <t xml:space="preserve">1. Paste key, Save &amp; validate
2. Check installation_licenses</t>
  </si>
  <si>
    <t xml:space="preserve">Key stored on Khan's row (company_id set); install slot untouched; status ACTIVE after validation</t>
  </si>
  <si>
    <t xml:space="preserve">TC-C03</t>
  </si>
  <si>
    <t xml:space="preserve">Tenant admin Validate now phones Central for own key</t>
  </si>
  <si>
    <t xml:space="preserve">Khan row configured</t>
  </si>
  <si>
    <t xml:space="preserve">1. Click Validate now
2. Check last_checked_at on both rows</t>
  </si>
  <si>
    <t xml:space="preserve">Khan row refreshed; install row last_checked_at unchanged</t>
  </si>
  <si>
    <t xml:space="preserve">TC-C04</t>
  </si>
  <si>
    <t xml:space="preserve">Offline licence card hidden for cloud tenant admin</t>
  </si>
  <si>
    <t xml:space="preserve">Khan admin on Licence screen</t>
  </si>
  <si>
    <t xml:space="preserve">1. Inspect page</t>
  </si>
  <si>
    <t xml:space="preserve">'Offline licence file' card not visible; fingerprint/import controls absent</t>
  </si>
  <si>
    <t xml:space="preserve">TC-C05</t>
  </si>
  <si>
    <t xml:space="preserve">Offline .lic import API blocked for tenant scope</t>
  </si>
  <si>
    <t xml:space="preserve">Khan admin token</t>
  </si>
  <si>
    <t xml:space="preserve">1. POST /api/license/import with any token</t>
  </si>
  <si>
    <t xml:space="preserve">HTTP 403: 'Offline licence files apply to self-hosted servers…' message; no state change</t>
  </si>
  <si>
    <t xml:space="preserve">TC-C06</t>
  </si>
  <si>
    <t xml:space="preserve">Super Admin licence screen shows install slot + pointer</t>
  </si>
  <si>
    <t xml:space="preserve">super@smartept.io</t>
  </si>
  <si>
    <t xml:space="preserve">1. Open Licence</t>
  </si>
  <si>
    <t xml:space="preserve">Install-level licence (or EVALUATION) shown; note 'Cloud tenants on this install carry their own licences — see the Tenants screen'</t>
  </si>
  <si>
    <t xml:space="preserve">TC-C07</t>
  </si>
  <si>
    <t xml:space="preserve">Client-hosted admin behaviour unchanged (regression)</t>
  </si>
  <si>
    <t xml:space="preserve">Local seeded install (LAN company); admin@ametecs.io</t>
  </si>
  <si>
    <t xml:space="preserve">1. Open Licence; save key; validate; import .lic</t>
  </si>
  <si>
    <t xml:space="preserve">Identical to pre-change behaviour: install slot used, offline card visible and functional</t>
  </si>
  <si>
    <t xml:space="preserve">TC-C08</t>
  </si>
  <si>
    <t xml:space="preserve">Device seats counted per scope</t>
  </si>
  <si>
    <t xml:space="preserve">Khan row active with devices; other companies have devices too</t>
  </si>
  <si>
    <t xml:space="preserve">1. Khan admin Licence screen: seats line
2. Super admin Licence screen: seats line</t>
  </si>
  <si>
    <t xml:space="preserve">Khan sees only Khan devices registered; install scope counts all devices on the box</t>
  </si>
  <si>
    <t xml:space="preserve">D. Provisioning key delivery (Central → Product)</t>
  </si>
  <si>
    <t xml:space="preserve">TC-D01</t>
  </si>
  <si>
    <t xml:space="preserve">Provisioning key delivery (Central → Product)</t>
  </si>
  <si>
    <t xml:space="preserve">New cloud tenant fully licensed hands-free</t>
  </si>
  <si>
    <t xml:space="preserve">Central 76ddf09 deployed; product 1fcb7f7 deployed; provisioning secret set</t>
  </si>
  <si>
    <t xml:space="preserve">1. In Central create/pay a cloud tenant (or Save an active one)
2. Open product Tenants screen</t>
  </si>
  <si>
    <t xml:space="preserve">Company + admin created AND licence row ACTIVE with the tenant's key — no manual key entry anywhere</t>
  </si>
  <si>
    <t xml:space="preserve">TC-D02</t>
  </si>
  <si>
    <t xml:space="preserve">Re-provision re-pushes the key idempotently</t>
  </si>
  <si>
    <t xml:space="preserve">Existing provisioned tenant</t>
  </si>
  <si>
    <t xml:space="preserve">1. Save the tenant again in Central
2. Check product row</t>
  </si>
  <si>
    <t xml:space="preserve">Same key → row untouched (status/bundle preserved); changed key → row reset and revalidated</t>
  </si>
  <si>
    <t xml:space="preserve">TC-D03</t>
  </si>
  <si>
    <t xml:space="preserve">Provision without licence_key still works (legacy)</t>
  </si>
  <si>
    <t xml:space="preserve">Tenant with no active licence</t>
  </si>
  <si>
    <t xml:space="preserve">1. Provision from Central</t>
  </si>
  <si>
    <t xml:space="preserve">Company + admin created; no licence row forced; tenant runs on 7-day evaluation</t>
  </si>
  <si>
    <t xml:space="preserve">TC-D04</t>
  </si>
  <si>
    <t xml:space="preserve">Bad provisioning secret rejected</t>
  </si>
  <si>
    <t xml:space="preserve">1. POST /api/provision with wrong X-Provision-Secret</t>
  </si>
  <si>
    <t xml:space="preserve">HTTP 401; nothing created or changed</t>
  </si>
  <si>
    <t xml:space="preserve">TC-D05</t>
  </si>
  <si>
    <t xml:space="preserve">Open my Console SSO unaffected</t>
  </si>
  <si>
    <t xml:space="preserve">Provisioned tenant with console_url</t>
  </si>
  <si>
    <t xml:space="preserve">1. Central portal → Open my Console</t>
  </si>
  <si>
    <t xml:space="preserve">Signed-in landing on branded console exactly as before</t>
  </si>
  <si>
    <t xml:space="preserve">E. Agent enforcement (EnsureLicensed)</t>
  </si>
  <si>
    <t xml:space="preserve">TC-E01</t>
  </si>
  <si>
    <t xml:space="preserve">Agent enforcement (EnsureLicensed)</t>
  </si>
  <si>
    <t xml:space="preserve">Licensed tenant agents sync normally</t>
  </si>
  <si>
    <t xml:space="preserve">Khan licence ACTIVE</t>
  </si>
  <si>
    <t xml:space="preserve">1. Khan employee signs into agent; agent syncs</t>
  </si>
  <si>
    <t xml:space="preserve">register-device / heartbeat / sync all pass</t>
  </si>
  <si>
    <t xml:space="preserve">TC-E02</t>
  </si>
  <si>
    <t xml:space="preserve">One tenant's dead licence never blocks another</t>
  </si>
  <si>
    <t xml:space="preserve">Tenant X row set status=revoked (tinker); Khan ACTIVE</t>
  </si>
  <si>
    <t xml:space="preserve">1. X agent syncs
2. Khan agent syncs</t>
  </si>
  <si>
    <t xml:space="preserve">X gets 403 LICENSE_BLOCKED (reason revoked); Khan completely unaffected</t>
  </si>
  <si>
    <t xml:space="preserve">TC-E03</t>
  </si>
  <si>
    <t xml:space="preserve">Expired within grace still syncs</t>
  </si>
  <si>
    <t xml:space="preserve">Tenant row status=expired, expires_at within grace_days</t>
  </si>
  <si>
    <t xml:space="preserve">1. Agent sync</t>
  </si>
  <si>
    <t xml:space="preserve">Traffic passes (grace window honoured per tenant)</t>
  </si>
  <si>
    <t xml:space="preserve">TC-E04</t>
  </si>
  <si>
    <t xml:space="preserve">Expired beyond grace blocks</t>
  </si>
  <si>
    <t xml:space="preserve">Tenant row expired beyond grace</t>
  </si>
  <si>
    <t xml:space="preserve">403 LICENSE_BLOCKED for that tenant only</t>
  </si>
  <si>
    <t xml:space="preserve">TC-E05</t>
  </si>
  <si>
    <t xml:space="preserve">Unlicensed SaaS tenant: 7-day evaluation then block</t>
  </si>
  <si>
    <t xml:space="preserve">SaaS company with no key (fresh row)</t>
  </si>
  <si>
    <t xml:space="preserve">1. Sync during window
2. Set row created_at back 8 days (tinker); sync again</t>
  </si>
  <si>
    <t xml:space="preserve">Passes during window; then 403 with reason evaluation_expired</t>
  </si>
  <si>
    <t xml:space="preserve">TC-E06</t>
  </si>
  <si>
    <t xml:space="preserve">Non-SaaS companies ride the install slot</t>
  </si>
  <si>
    <t xml:space="preserve">Install slot ACTIVE (or in evaluation)</t>
  </si>
  <si>
    <t xml:space="preserve">1. Agent of LAN company syncs</t>
  </si>
  <si>
    <t xml:space="preserve">Governed by install slot exactly as before the change</t>
  </si>
  <si>
    <t xml:space="preserve">TC-E07</t>
  </si>
  <si>
    <t xml:space="preserve">Central unreachable → last verdict stands per tenant</t>
  </si>
  <si>
    <t xml:space="preserve">Kill SMARTEPT_LICENSE_URL reachability (hosts file) on a test box</t>
  </si>
  <si>
    <t xml:space="preserve">1. Tenant with cached ACTIVE syncs</t>
  </si>
  <si>
    <t xml:space="preserve">Sync continues; unreachable_since recorded; no false block</t>
  </si>
  <si>
    <t xml:space="preserve">F. Device seats per tenant</t>
  </si>
  <si>
    <t xml:space="preserve">TC-F01</t>
  </si>
  <si>
    <t xml:space="preserve">Device seats per tenant</t>
  </si>
  <si>
    <t xml:space="preserve">Seat claimed against the employee's tenant key</t>
  </si>
  <si>
    <t xml:space="preserve">Khan ACTIVE with free seats</t>
  </si>
  <si>
    <t xml:space="preserve">1. New Khan employee registers a device
2. Central licence page for Khan</t>
  </si>
  <si>
    <t xml:space="preserve">Seat activates on Khan's licence at Central; devices_active increments for Khan only</t>
  </si>
  <si>
    <t xml:space="preserve">TC-F02</t>
  </si>
  <si>
    <t xml:space="preserve">Tenant seat limit blocks only that tenant</t>
  </si>
  <si>
    <t xml:space="preserve">Tenant at device_limit</t>
  </si>
  <si>
    <t xml:space="preserve">1. One more device registers for that tenant
2. Khan (different tenant) registers a device</t>
  </si>
  <si>
    <t xml:space="preserve">First gets 409 LICENSE_SEAT_BLOCKED device_limit_reached; Khan's registration succeeds</t>
  </si>
  <si>
    <t xml:space="preserve">TC-F03</t>
  </si>
  <si>
    <t xml:space="preserve">Unbind releases the tenant's seat</t>
  </si>
  <si>
    <t xml:space="preserve">Bound device on Khan</t>
  </si>
  <si>
    <t xml:space="preserve">1. Devices → Unbind
2. Check Central seat count for Khan</t>
  </si>
  <si>
    <t xml:space="preserve">Seat released on Khan's licence; token revoked; device blocked from re-registering until rebind</t>
  </si>
  <si>
    <t xml:space="preserve">TC-F04</t>
  </si>
  <si>
    <t xml:space="preserve">Rebind reclaims on the right licence</t>
  </si>
  <si>
    <t xml:space="preserve">Unbound Khan device</t>
  </si>
  <si>
    <t xml:space="preserve">1. Devices → Rebind</t>
  </si>
  <si>
    <t xml:space="preserve">Seat reclaimed against Khan's key; 409 with clear message if none free</t>
  </si>
  <si>
    <t xml:space="preserve">TC-F05</t>
  </si>
  <si>
    <t xml:space="preserve">Relieve employee releases every device per tenant</t>
  </si>
  <si>
    <t xml:space="preserve">Khan employee with 2 devices</t>
  </si>
  <si>
    <t xml:space="preserve">1. Employees → Relieve (with reason)</t>
  </si>
  <si>
    <t xml:space="preserve">Both seats released on Khan's licence; devices unbound; tokens revoked</t>
  </si>
  <si>
    <t xml:space="preserve">G. Storage reporting &amp; governance</t>
  </si>
  <si>
    <t xml:space="preserve">TC-G01</t>
  </si>
  <si>
    <t xml:space="preserve">Storage reporting &amp; governance</t>
  </si>
  <si>
    <t xml:space="preserve">Per-tenant storage reported to Central</t>
  </si>
  <si>
    <t xml:space="preserve">Two tenants with different storage footprints</t>
  </si>
  <si>
    <t xml:space="preserve">1. Validate each tenant (Tenants → Validate)
2. Central: storage_usages rows</t>
  </si>
  <si>
    <t xml:space="preserve">Each tenant's storage_gb equals ITS OWN files only (not the whole box)</t>
  </si>
  <si>
    <t xml:space="preserve">TC-G02</t>
  </si>
  <si>
    <t xml:space="preserve">Install row still reports whole-box storage</t>
  </si>
  <si>
    <t xml:space="preserve">Install slot keyed (client-hosted case)</t>
  </si>
  <si>
    <t xml:space="preserve">1. Validate install licence</t>
  </si>
  <si>
    <t xml:space="preserve">storage_gb = all evidence files on the server</t>
  </si>
  <si>
    <t xml:space="preserve">TC-G03</t>
  </si>
  <si>
    <t xml:space="preserve">Tenant over quota pauses only that tenant's screenshots</t>
  </si>
  <si>
    <t xml:space="preserve">Force tenant over 100% (Central storage governance)</t>
  </si>
  <si>
    <t xml:space="preserve">1. Validate tenant (pause flag returns)
2. That tenant's agent uploads screenshot
3. Khan agent uploads screenshot</t>
  </si>
  <si>
    <t xml:space="preserve">Over-quota tenant gets 409 'Storage is full…'; Khan uploads fine; activity tracking continues for both</t>
  </si>
  <si>
    <t xml:space="preserve">TC-G04</t>
  </si>
  <si>
    <t xml:space="preserve">Global storage pause still works (backward compat)</t>
  </si>
  <si>
    <t xml:space="preserve">Set Setting storage_paused=1</t>
  </si>
  <si>
    <t xml:space="preserve">1. Any agent uploads screenshot</t>
  </si>
  <si>
    <t xml:space="preserve">409 for all companies — install-wide switch honoured as before</t>
  </si>
  <si>
    <t xml:space="preserve">TC-G05</t>
  </si>
  <si>
    <t xml:space="preserve">Storage bar colours &amp; percentages on Tenants screen</t>
  </si>
  <si>
    <t xml:space="preserve">Tenants at &lt;70%, 70–89%, ≥90% of quota</t>
  </si>
  <si>
    <t xml:space="preserve">1. Open Tenants; compare used/quota/%</t>
  </si>
  <si>
    <t xml:space="preserve">Bar green &lt;70, amber 70–89, red ≥90; % = used/quota rounded; 'no quota' shown when unlimited</t>
  </si>
  <si>
    <t xml:space="preserve">H. Tenants screen (HOST)</t>
  </si>
  <si>
    <t xml:space="preserve">TC-H01</t>
  </si>
  <si>
    <t xml:space="preserve">Tenants screen (HOST)</t>
  </si>
  <si>
    <t xml:space="preserve">Visible to Super Admin only</t>
  </si>
  <si>
    <t xml:space="preserve">Accounts of each role</t>
  </si>
  <si>
    <t xml:space="preserve">1. Sign in as SUPER_ADMIN, COMPANY_ADMIN, HR_ADMIN, EMPLOYEE in turn</t>
  </si>
  <si>
    <t xml:space="preserve">HOST → Tenants appears only for SUPER_ADMIN; other roles never see the section</t>
  </si>
  <si>
    <t xml:space="preserve">TC-H02</t>
  </si>
  <si>
    <t xml:space="preserve">API gated server-side</t>
  </si>
  <si>
    <t xml:space="preserve">Company admin token</t>
  </si>
  <si>
    <t xml:space="preserve">1. GET /api/tenants
2. POST /api/tenants/{id}/license/validate</t>
  </si>
  <si>
    <t xml:space="preserve">Both 403 regardless of UI</t>
  </si>
  <si>
    <t xml:space="preserve">TC-H03</t>
  </si>
  <si>
    <t xml:space="preserve">KPI chips correct</t>
  </si>
  <si>
    <t xml:space="preserve">Known tenant mix</t>
  </si>
  <si>
    <t xml:space="preserve">1. Open Tenants; cross-check chips</t>
  </si>
  <si>
    <t xml:space="preserve">Cloud tenants count, other companies, Licences OK x/y, devices bound, total evidence storage all match DB</t>
  </si>
  <si>
    <t xml:space="preserve">TC-H04</t>
  </si>
  <si>
    <t xml:space="preserve">Slug links open branded consoles</t>
  </si>
  <si>
    <t xml:space="preserve">Tenants with slugs</t>
  </si>
  <si>
    <t xml:space="preserve">1. Click /khan link</t>
  </si>
  <si>
    <t xml:space="preserve">New tab: admin.smartept.com/khan branded login/console</t>
  </si>
  <si>
    <t xml:space="preserve">TC-H05</t>
  </si>
  <si>
    <t xml:space="preserve">Licence pills reflect every state</t>
  </si>
  <si>
    <t xml:space="preserve">Tenants in states: active, evaluation, no licence, expired; plus a non-cloud company</t>
  </si>
  <si>
    <t xml:space="preserve">1. Review each row's pill</t>
  </si>
  <si>
    <t xml:space="preserve">ACTIVE green; EVALUATION amber with days left; NO LICENCE red; EXPIRED per grace; non-cloud shows INSTALL pill</t>
  </si>
  <si>
    <t xml:space="preserve">TC-H06</t>
  </si>
  <si>
    <t xml:space="preserve">Seats column warns when full</t>
  </si>
  <si>
    <t xml:space="preserve">Tenant with bound == device_limit</t>
  </si>
  <si>
    <t xml:space="preserve">1. Review seats cell</t>
  </si>
  <si>
    <t xml:space="preserve">Rendered amber/bold 'n / n'</t>
  </si>
  <si>
    <t xml:space="preserve">TC-H07</t>
  </si>
  <si>
    <t xml:space="preserve">Per-tenant Validate button works</t>
  </si>
  <si>
    <t xml:space="preserve">Tenant with stale last check</t>
  </si>
  <si>
    <t xml:space="preserve">1. Click Validate on the row</t>
  </si>
  <si>
    <t xml:space="preserve">Phone-home fires for THAT tenant only; button shows result; row refreshes with new last-check time</t>
  </si>
  <si>
    <t xml:space="preserve">TC-H08</t>
  </si>
  <si>
    <t xml:space="preserve">Storage cache notice</t>
  </si>
  <si>
    <t xml:space="preserve">1. Footer note on Tenants</t>
  </si>
  <si>
    <t xml:space="preserve">States 10-minute refresh + billing-lives-in-Central reminder + install licence status</t>
  </si>
  <si>
    <t xml:space="preserve">TC-H09</t>
  </si>
  <si>
    <t xml:space="preserve">Validate on non-cloud company rejected cleanly</t>
  </si>
  <si>
    <t xml:space="preserve">1. POST /api/tenants/{nonCloudId}/license/validate</t>
  </si>
  <si>
    <t xml:space="preserve">422 'uses the install-level licence — validate it from the Licence screen'</t>
  </si>
  <si>
    <t xml:space="preserve">I. Daily validate command</t>
  </si>
  <si>
    <t xml:space="preserve">TC-I01</t>
  </si>
  <si>
    <t xml:space="preserve">Daily validate command</t>
  </si>
  <si>
    <t xml:space="preserve">Command validates install + every tenant row</t>
  </si>
  <si>
    <t xml:space="preserve">Install + 2 tenant rows keyed</t>
  </si>
  <si>
    <t xml:space="preserve">1. php artisan smartept:validate-license</t>
  </si>
  <si>
    <t xml:space="preserve">One output line per configured row (Install / Tenant #id (name)); each bundle refreshed</t>
  </si>
  <si>
    <t xml:space="preserve">TC-I02</t>
  </si>
  <si>
    <t xml:space="preserve">Exit code fails when any row blocked</t>
  </si>
  <si>
    <t xml:space="preserve">One tenant revoked</t>
  </si>
  <si>
    <t xml:space="preserve">1. Run command; echo $?</t>
  </si>
  <si>
    <t xml:space="preserve">Non-zero exit; blocked row named in output</t>
  </si>
  <si>
    <t xml:space="preserve">TC-I03</t>
  </si>
  <si>
    <t xml:space="preserve">No keys anywhere → graceful warn</t>
  </si>
  <si>
    <t xml:space="preserve">Fresh DB, no keys</t>
  </si>
  <si>
    <t xml:space="preserve">1. Run command</t>
  </si>
  <si>
    <t xml:space="preserve">Warning about no key; exit success; nothing crashes</t>
  </si>
  <si>
    <t xml:space="preserve">J. Automated &amp; regression</t>
  </si>
  <si>
    <t xml:space="preserve">TC-J01</t>
  </si>
  <si>
    <t xml:space="preserve">Automated &amp; regression</t>
  </si>
  <si>
    <t xml:space="preserve">PerTenantLicenseTest green</t>
  </si>
  <si>
    <t xml:space="preserve">Local Laragon</t>
  </si>
  <si>
    <t xml:space="preserve">1. php artisan test --filter=PerTenantLicenseTest</t>
  </si>
  <si>
    <t xml:space="preserve">All 5 tests pass</t>
  </si>
  <si>
    <t xml:space="preserve">TC-J02</t>
  </si>
  <si>
    <t xml:space="preserve">M9 licence + M11 offboarding suites green (regression)</t>
  </si>
  <si>
    <t xml:space="preserve">1. php artisan test --filter=M9LicenseTest
2. --filter=M11OffboardingTest</t>
  </si>
  <si>
    <t xml:space="preserve">All pass unchanged — client-hosted behaviour untouched</t>
  </si>
  <si>
    <t xml:space="preserve">TC-J03</t>
  </si>
  <si>
    <t xml:space="preserve">Full product suite green</t>
  </si>
  <si>
    <t xml:space="preserve">1. test.bat</t>
  </si>
  <si>
    <t xml:space="preserve">No failures</t>
  </si>
  <si>
    <t xml:space="preserve">TC-J04</t>
  </si>
  <si>
    <t xml:space="preserve">Live smoke after deploy</t>
  </si>
  <si>
    <t xml:space="preserve">Steps 3–4 of SR-04 §12 done</t>
  </si>
  <si>
    <t xml:space="preserve">1. /khan web login
2. Khan agent sign-in + sync
3. Tenants screen on live
4. Central tenant storage stats next day</t>
  </si>
  <si>
    <t xml:space="preserve">All green; Khan on own licence; per-tenant storage flowing</t>
  </si>
  <si>
    <t xml:space="preserve">Fill in: Result (dropdown: Pass / Fail / Blocked / Not Tested), Tested By, Date, Notes. Any P1 = Fail → report to Ejaz immediately with the Notes cell filled. All other columns are fixed.</t>
  </si>
  <si>
    <t xml:space="preserve">Execution Summary — auto-computed from the Test Cases sheet</t>
  </si>
  <si>
    <t xml:space="preserve">Metric</t>
  </si>
  <si>
    <t xml:space="preserve">Count</t>
  </si>
  <si>
    <t xml:space="preserve">Total test cases</t>
  </si>
  <si>
    <t xml:space="preserve">P1 (must-pass)</t>
  </si>
  <si>
    <t xml:space="preserve">Passed</t>
  </si>
  <si>
    <t xml:space="preserve">Failed</t>
  </si>
  <si>
    <t xml:space="preserve">Blocked</t>
  </si>
  <si>
    <t xml:space="preserve">Not tested / blank</t>
  </si>
  <si>
    <t xml:space="preserve">Sign-off rule: every P1 = Pass ⇒ per-tenant licensing approved for live. Any P1 Fail ⇒ stop, report, fix, re-run.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</si>
</sst>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373"/>
      <name val="Arial"/>
      <family val="0"/>
      <charset val="1"/>
    </font>
    <font>
      <sz val="9"/>
      <color rgb="FF565A66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0B6373"/>
      <name val="Arial"/>
      <family val="0"/>
      <charset val="1"/>
    </font>
    <font>
      <b val="true"/>
      <sz val="9"/>
      <color rgb="FF15171C"/>
      <name val="Arial"/>
      <family val="0"/>
      <charset val="1"/>
    </font>
    <font>
      <sz val="9"/>
      <color rgb="FF15171C"/>
      <name val="Arial"/>
      <family val="0"/>
      <charset val="1"/>
    </font>
    <font>
      <b val="true"/>
      <sz val="9"/>
      <color rgb="FFD02748"/>
      <name val="Arial"/>
      <family val="0"/>
      <charset val="1"/>
    </font>
    <font>
      <b val="true"/>
      <sz val="9"/>
      <color rgb="FFB7791F"/>
      <name val="Arial"/>
      <family val="0"/>
      <charset val="1"/>
    </font>
    <font>
      <i val="true"/>
      <sz val="9"/>
      <color rgb="FF565A66"/>
      <name val="Arial"/>
      <family val="0"/>
      <charset val="1"/>
    </font>
    <font>
      <b val="true"/>
      <sz val="13"/>
      <color rgb="FF0B63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8F"/>
        <bgColor rgb="FF0B6373"/>
      </patternFill>
    </fill>
    <fill>
      <patternFill patternType="solid">
        <fgColor rgb="FFE3F4F7"/>
        <bgColor rgb="FFF0F1F4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0F1F4"/>
      </left>
      <right style="thin">
        <color rgb="FFF0F1F4"/>
      </right>
      <top style="thin">
        <color rgb="FFF0F1F4"/>
      </top>
      <bottom style="thin">
        <color rgb="FFF0F1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7C8F"/>
          <bgColor rgb="FF000000"/>
        </patternFill>
      </fill>
    </dxf>
    <dxf>
      <fill>
        <patternFill patternType="solid">
          <fgColor rgb="FFE3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6373"/>
          <bgColor rgb="FF000000"/>
        </patternFill>
      </fill>
    </dxf>
    <dxf>
      <fill>
        <patternFill patternType="solid">
          <fgColor rgb="FF1517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0274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E7C8F"/>
      <rgbColor rgb="FFC0C0C0"/>
      <rgbColor rgb="FF808080"/>
      <rgbColor rgb="FF9999FF"/>
      <rgbColor rgb="FFD02748"/>
      <rgbColor rgb="FFFAFBFC"/>
      <rgbColor rgb="FFE3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B6373"/>
      <rgbColor rgb="FF0000FF"/>
      <rgbColor rgb="FF00CCFF"/>
      <rgbColor rgb="FFF0F1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66"/>
      <rgbColor rgb="FF969696"/>
      <rgbColor rgb="FF003366"/>
      <rgbColor rgb="FF339966"/>
      <rgbColor rgb="FF1517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2.35" hidden="false" customHeight="false" outlineLevel="0" collapsed="false">
      <c r="A6" s="5" t="s">
        <v>14</v>
      </c>
      <c r="B6" s="6" t="s">
        <v>15</v>
      </c>
      <c r="C6" s="7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8"/>
      <c r="I6" s="6"/>
      <c r="J6" s="8"/>
      <c r="K6" s="6"/>
    </row>
    <row r="7" customFormat="false" ht="32.8" hidden="false" customHeight="false" outlineLevel="0" collapsed="false">
      <c r="A7" s="5" t="s">
        <v>21</v>
      </c>
      <c r="B7" s="6" t="s">
        <v>15</v>
      </c>
      <c r="C7" s="7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8"/>
      <c r="I7" s="6"/>
      <c r="J7" s="8"/>
      <c r="K7" s="6"/>
    </row>
    <row r="8" customFormat="false" ht="22.35" hidden="false" customHeight="false" outlineLevel="0" collapsed="false">
      <c r="A8" s="5" t="s">
        <v>26</v>
      </c>
      <c r="B8" s="6" t="s">
        <v>15</v>
      </c>
      <c r="C8" s="9" t="s">
        <v>27</v>
      </c>
      <c r="D8" s="6" t="s">
        <v>28</v>
      </c>
      <c r="E8" s="6" t="s">
        <v>29</v>
      </c>
      <c r="F8" s="6" t="s">
        <v>30</v>
      </c>
      <c r="G8" s="6" t="s">
        <v>31</v>
      </c>
      <c r="H8" s="8"/>
      <c r="I8" s="6"/>
      <c r="J8" s="8"/>
      <c r="K8" s="6"/>
    </row>
    <row r="9" customFormat="false" ht="22.35" hidden="false" customHeight="false" outlineLevel="0" collapsed="false">
      <c r="A9" s="5" t="s">
        <v>32</v>
      </c>
      <c r="B9" s="6" t="s">
        <v>15</v>
      </c>
      <c r="C9" s="9" t="s">
        <v>27</v>
      </c>
      <c r="D9" s="6" t="s">
        <v>33</v>
      </c>
      <c r="E9" s="6" t="s">
        <v>34</v>
      </c>
      <c r="F9" s="6" t="s">
        <v>35</v>
      </c>
      <c r="G9" s="6" t="s">
        <v>36</v>
      </c>
      <c r="H9" s="8"/>
      <c r="I9" s="6"/>
      <c r="J9" s="8"/>
      <c r="K9" s="6"/>
    </row>
    <row r="10" customFormat="false" ht="15" hidden="false" customHeight="false" outlineLevel="0" collapsed="false">
      <c r="A10" s="5" t="s">
        <v>37</v>
      </c>
      <c r="B10" s="6" t="s">
        <v>15</v>
      </c>
      <c r="C10" s="5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8"/>
      <c r="I10" s="6"/>
      <c r="J10" s="8"/>
      <c r="K10" s="6"/>
    </row>
    <row r="11" customFormat="false" ht="32.8" hidden="false" customHeight="false" outlineLevel="0" collapsed="false">
      <c r="A11" s="5" t="s">
        <v>43</v>
      </c>
      <c r="B11" s="6" t="s">
        <v>15</v>
      </c>
      <c r="C11" s="7" t="s">
        <v>16</v>
      </c>
      <c r="D11" s="6" t="s">
        <v>44</v>
      </c>
      <c r="E11" s="6" t="s">
        <v>45</v>
      </c>
      <c r="F11" s="6" t="s">
        <v>46</v>
      </c>
      <c r="G11" s="6" t="s">
        <v>47</v>
      </c>
      <c r="H11" s="8"/>
      <c r="I11" s="6"/>
      <c r="J11" s="8"/>
      <c r="K11" s="6"/>
    </row>
    <row r="12" customFormat="false" ht="15" hidden="false" customHeight="false" outlineLevel="0" collapsed="false">
      <c r="A12" s="4" t="s">
        <v>48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22.35" hidden="false" customHeight="false" outlineLevel="0" collapsed="false">
      <c r="A13" s="5" t="s">
        <v>49</v>
      </c>
      <c r="B13" s="6" t="s">
        <v>50</v>
      </c>
      <c r="C13" s="7" t="s">
        <v>16</v>
      </c>
      <c r="D13" s="6" t="s">
        <v>51</v>
      </c>
      <c r="E13" s="6" t="s">
        <v>52</v>
      </c>
      <c r="F13" s="6" t="s">
        <v>53</v>
      </c>
      <c r="G13" s="6" t="s">
        <v>54</v>
      </c>
      <c r="H13" s="8"/>
      <c r="I13" s="6"/>
      <c r="J13" s="8"/>
      <c r="K13" s="6"/>
    </row>
    <row r="14" customFormat="false" ht="22.35" hidden="false" customHeight="false" outlineLevel="0" collapsed="false">
      <c r="A14" s="5" t="s">
        <v>55</v>
      </c>
      <c r="B14" s="6" t="s">
        <v>50</v>
      </c>
      <c r="C14" s="7" t="s">
        <v>16</v>
      </c>
      <c r="D14" s="6" t="s">
        <v>56</v>
      </c>
      <c r="E14" s="6" t="s">
        <v>57</v>
      </c>
      <c r="F14" s="6" t="s">
        <v>58</v>
      </c>
      <c r="G14" s="6" t="s">
        <v>59</v>
      </c>
      <c r="H14" s="8"/>
      <c r="I14" s="6"/>
      <c r="J14" s="8"/>
      <c r="K14" s="6"/>
    </row>
    <row r="15" customFormat="false" ht="15" hidden="false" customHeight="false" outlineLevel="0" collapsed="false">
      <c r="A15" s="5" t="s">
        <v>60</v>
      </c>
      <c r="B15" s="6" t="s">
        <v>50</v>
      </c>
      <c r="C15" s="9" t="s">
        <v>27</v>
      </c>
      <c r="D15" s="6" t="s">
        <v>61</v>
      </c>
      <c r="E15" s="6" t="s">
        <v>62</v>
      </c>
      <c r="F15" s="6" t="s">
        <v>63</v>
      </c>
      <c r="G15" s="6" t="s">
        <v>64</v>
      </c>
      <c r="H15" s="8"/>
      <c r="I15" s="6"/>
      <c r="J15" s="8"/>
      <c r="K15" s="6"/>
    </row>
    <row r="16" customFormat="false" ht="22.35" hidden="false" customHeight="false" outlineLevel="0" collapsed="false">
      <c r="A16" s="5" t="s">
        <v>65</v>
      </c>
      <c r="B16" s="6" t="s">
        <v>50</v>
      </c>
      <c r="C16" s="9" t="s">
        <v>27</v>
      </c>
      <c r="D16" s="6" t="s">
        <v>66</v>
      </c>
      <c r="E16" s="6" t="s">
        <v>67</v>
      </c>
      <c r="F16" s="6" t="s">
        <v>68</v>
      </c>
      <c r="G16" s="6" t="s">
        <v>69</v>
      </c>
      <c r="H16" s="8"/>
      <c r="I16" s="6"/>
      <c r="J16" s="8"/>
      <c r="K16" s="6"/>
    </row>
    <row r="17" customFormat="false" ht="22.35" hidden="false" customHeight="false" outlineLevel="0" collapsed="false">
      <c r="A17" s="5" t="s">
        <v>70</v>
      </c>
      <c r="B17" s="6" t="s">
        <v>50</v>
      </c>
      <c r="C17" s="9" t="s">
        <v>27</v>
      </c>
      <c r="D17" s="6" t="s">
        <v>71</v>
      </c>
      <c r="E17" s="6" t="s">
        <v>72</v>
      </c>
      <c r="F17" s="6" t="s">
        <v>73</v>
      </c>
      <c r="G17" s="6" t="s">
        <v>74</v>
      </c>
      <c r="H17" s="8"/>
      <c r="I17" s="6"/>
      <c r="J17" s="8"/>
      <c r="K17" s="6"/>
    </row>
    <row r="18" customFormat="false" ht="15" hidden="false" customHeight="false" outlineLevel="0" collapsed="false">
      <c r="A18" s="5" t="s">
        <v>75</v>
      </c>
      <c r="B18" s="6" t="s">
        <v>50</v>
      </c>
      <c r="C18" s="5" t="s">
        <v>38</v>
      </c>
      <c r="D18" s="6" t="s">
        <v>76</v>
      </c>
      <c r="E18" s="6" t="s">
        <v>77</v>
      </c>
      <c r="F18" s="6" t="s">
        <v>78</v>
      </c>
      <c r="G18" s="6" t="s">
        <v>79</v>
      </c>
      <c r="H18" s="8"/>
      <c r="I18" s="6"/>
      <c r="J18" s="8"/>
      <c r="K18" s="6"/>
    </row>
    <row r="19" customFormat="false" ht="15" hidden="false" customHeight="false" outlineLevel="0" collapsed="false">
      <c r="A19" s="4" t="s">
        <v>80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32.8" hidden="false" customHeight="false" outlineLevel="0" collapsed="false">
      <c r="A20" s="5" t="s">
        <v>81</v>
      </c>
      <c r="B20" s="6" t="s">
        <v>82</v>
      </c>
      <c r="C20" s="7" t="s">
        <v>16</v>
      </c>
      <c r="D20" s="6" t="s">
        <v>83</v>
      </c>
      <c r="E20" s="6" t="s">
        <v>84</v>
      </c>
      <c r="F20" s="6" t="s">
        <v>85</v>
      </c>
      <c r="G20" s="6" t="s">
        <v>86</v>
      </c>
      <c r="H20" s="8"/>
      <c r="I20" s="6"/>
      <c r="J20" s="8"/>
      <c r="K20" s="6"/>
    </row>
    <row r="21" customFormat="false" ht="22.35" hidden="false" customHeight="false" outlineLevel="0" collapsed="false">
      <c r="A21" s="5" t="s">
        <v>87</v>
      </c>
      <c r="B21" s="6" t="s">
        <v>82</v>
      </c>
      <c r="C21" s="7" t="s">
        <v>16</v>
      </c>
      <c r="D21" s="6" t="s">
        <v>88</v>
      </c>
      <c r="E21" s="6" t="s">
        <v>89</v>
      </c>
      <c r="F21" s="6" t="s">
        <v>90</v>
      </c>
      <c r="G21" s="6" t="s">
        <v>91</v>
      </c>
      <c r="H21" s="8"/>
      <c r="I21" s="6"/>
      <c r="J21" s="8"/>
      <c r="K21" s="6"/>
    </row>
    <row r="22" customFormat="false" ht="22.35" hidden="false" customHeight="false" outlineLevel="0" collapsed="false">
      <c r="A22" s="5" t="s">
        <v>92</v>
      </c>
      <c r="B22" s="6" t="s">
        <v>82</v>
      </c>
      <c r="C22" s="9" t="s">
        <v>27</v>
      </c>
      <c r="D22" s="6" t="s">
        <v>93</v>
      </c>
      <c r="E22" s="6" t="s">
        <v>94</v>
      </c>
      <c r="F22" s="6" t="s">
        <v>95</v>
      </c>
      <c r="G22" s="6" t="s">
        <v>96</v>
      </c>
      <c r="H22" s="8"/>
      <c r="I22" s="6"/>
      <c r="J22" s="8"/>
      <c r="K22" s="6"/>
    </row>
    <row r="23" customFormat="false" ht="15" hidden="false" customHeight="false" outlineLevel="0" collapsed="false">
      <c r="A23" s="5" t="s">
        <v>97</v>
      </c>
      <c r="B23" s="6" t="s">
        <v>82</v>
      </c>
      <c r="C23" s="9" t="s">
        <v>27</v>
      </c>
      <c r="D23" s="6" t="s">
        <v>98</v>
      </c>
      <c r="E23" s="6" t="s">
        <v>99</v>
      </c>
      <c r="F23" s="6" t="s">
        <v>100</v>
      </c>
      <c r="G23" s="6" t="s">
        <v>101</v>
      </c>
      <c r="H23" s="8"/>
      <c r="I23" s="6"/>
      <c r="J23" s="8"/>
      <c r="K23" s="6"/>
    </row>
    <row r="24" customFormat="false" ht="22.35" hidden="false" customHeight="false" outlineLevel="0" collapsed="false">
      <c r="A24" s="5" t="s">
        <v>102</v>
      </c>
      <c r="B24" s="6" t="s">
        <v>82</v>
      </c>
      <c r="C24" s="7" t="s">
        <v>16</v>
      </c>
      <c r="D24" s="6" t="s">
        <v>103</v>
      </c>
      <c r="E24" s="6" t="s">
        <v>104</v>
      </c>
      <c r="F24" s="6" t="s">
        <v>105</v>
      </c>
      <c r="G24" s="6" t="s">
        <v>106</v>
      </c>
      <c r="H24" s="8"/>
      <c r="I24" s="6"/>
      <c r="J24" s="8"/>
      <c r="K24" s="6"/>
    </row>
    <row r="25" customFormat="false" ht="22.35" hidden="false" customHeight="false" outlineLevel="0" collapsed="false">
      <c r="A25" s="5" t="s">
        <v>107</v>
      </c>
      <c r="B25" s="6" t="s">
        <v>82</v>
      </c>
      <c r="C25" s="9" t="s">
        <v>27</v>
      </c>
      <c r="D25" s="6" t="s">
        <v>108</v>
      </c>
      <c r="E25" s="6" t="s">
        <v>109</v>
      </c>
      <c r="F25" s="6" t="s">
        <v>110</v>
      </c>
      <c r="G25" s="6" t="s">
        <v>111</v>
      </c>
      <c r="H25" s="8"/>
      <c r="I25" s="6"/>
      <c r="J25" s="8"/>
      <c r="K25" s="6"/>
    </row>
    <row r="26" customFormat="false" ht="22.35" hidden="false" customHeight="false" outlineLevel="0" collapsed="false">
      <c r="A26" s="5" t="s">
        <v>112</v>
      </c>
      <c r="B26" s="6" t="s">
        <v>82</v>
      </c>
      <c r="C26" s="7" t="s">
        <v>16</v>
      </c>
      <c r="D26" s="6" t="s">
        <v>113</v>
      </c>
      <c r="E26" s="6" t="s">
        <v>114</v>
      </c>
      <c r="F26" s="6" t="s">
        <v>115</v>
      </c>
      <c r="G26" s="6" t="s">
        <v>116</v>
      </c>
      <c r="H26" s="8"/>
      <c r="I26" s="6"/>
      <c r="J26" s="8"/>
      <c r="K26" s="6"/>
    </row>
    <row r="27" customFormat="false" ht="22.35" hidden="false" customHeight="false" outlineLevel="0" collapsed="false">
      <c r="A27" s="5" t="s">
        <v>117</v>
      </c>
      <c r="B27" s="6" t="s">
        <v>82</v>
      </c>
      <c r="C27" s="9" t="s">
        <v>27</v>
      </c>
      <c r="D27" s="6" t="s">
        <v>118</v>
      </c>
      <c r="E27" s="6" t="s">
        <v>119</v>
      </c>
      <c r="F27" s="6" t="s">
        <v>120</v>
      </c>
      <c r="G27" s="6" t="s">
        <v>121</v>
      </c>
      <c r="H27" s="8"/>
      <c r="I27" s="6"/>
      <c r="J27" s="8"/>
      <c r="K27" s="6"/>
    </row>
    <row r="28" customFormat="false" ht="15" hidden="false" customHeight="false" outlineLevel="0" collapsed="false">
      <c r="A28" s="4" t="s">
        <v>122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32.8" hidden="false" customHeight="false" outlineLevel="0" collapsed="false">
      <c r="A29" s="5" t="s">
        <v>123</v>
      </c>
      <c r="B29" s="6" t="s">
        <v>124</v>
      </c>
      <c r="C29" s="7" t="s">
        <v>16</v>
      </c>
      <c r="D29" s="6" t="s">
        <v>125</v>
      </c>
      <c r="E29" s="6" t="s">
        <v>126</v>
      </c>
      <c r="F29" s="6" t="s">
        <v>127</v>
      </c>
      <c r="G29" s="6" t="s">
        <v>128</v>
      </c>
      <c r="H29" s="8"/>
      <c r="I29" s="6"/>
      <c r="J29" s="8"/>
      <c r="K29" s="6"/>
    </row>
    <row r="30" customFormat="false" ht="22.35" hidden="false" customHeight="false" outlineLevel="0" collapsed="false">
      <c r="A30" s="5" t="s">
        <v>129</v>
      </c>
      <c r="B30" s="6" t="s">
        <v>124</v>
      </c>
      <c r="C30" s="7" t="s">
        <v>16</v>
      </c>
      <c r="D30" s="6" t="s">
        <v>130</v>
      </c>
      <c r="E30" s="6" t="s">
        <v>131</v>
      </c>
      <c r="F30" s="6" t="s">
        <v>132</v>
      </c>
      <c r="G30" s="6" t="s">
        <v>133</v>
      </c>
      <c r="H30" s="8"/>
      <c r="I30" s="6"/>
      <c r="J30" s="8"/>
      <c r="K30" s="6"/>
    </row>
    <row r="31" customFormat="false" ht="22.35" hidden="false" customHeight="false" outlineLevel="0" collapsed="false">
      <c r="A31" s="5" t="s">
        <v>134</v>
      </c>
      <c r="B31" s="6" t="s">
        <v>124</v>
      </c>
      <c r="C31" s="9" t="s">
        <v>27</v>
      </c>
      <c r="D31" s="6" t="s">
        <v>135</v>
      </c>
      <c r="E31" s="6" t="s">
        <v>136</v>
      </c>
      <c r="F31" s="6" t="s">
        <v>137</v>
      </c>
      <c r="G31" s="6" t="s">
        <v>138</v>
      </c>
      <c r="H31" s="8"/>
      <c r="I31" s="6"/>
      <c r="J31" s="8"/>
      <c r="K31" s="6"/>
    </row>
    <row r="32" customFormat="false" ht="22.35" hidden="false" customHeight="false" outlineLevel="0" collapsed="false">
      <c r="A32" s="5" t="s">
        <v>139</v>
      </c>
      <c r="B32" s="6" t="s">
        <v>124</v>
      </c>
      <c r="C32" s="7" t="s">
        <v>16</v>
      </c>
      <c r="D32" s="6" t="s">
        <v>140</v>
      </c>
      <c r="E32" s="6" t="s">
        <v>62</v>
      </c>
      <c r="F32" s="6" t="s">
        <v>141</v>
      </c>
      <c r="G32" s="6" t="s">
        <v>142</v>
      </c>
      <c r="H32" s="8"/>
      <c r="I32" s="6"/>
      <c r="J32" s="8"/>
      <c r="K32" s="6"/>
    </row>
    <row r="33" customFormat="false" ht="22.35" hidden="false" customHeight="false" outlineLevel="0" collapsed="false">
      <c r="A33" s="5" t="s">
        <v>143</v>
      </c>
      <c r="B33" s="6" t="s">
        <v>124</v>
      </c>
      <c r="C33" s="9" t="s">
        <v>27</v>
      </c>
      <c r="D33" s="6" t="s">
        <v>144</v>
      </c>
      <c r="E33" s="6" t="s">
        <v>145</v>
      </c>
      <c r="F33" s="6" t="s">
        <v>146</v>
      </c>
      <c r="G33" s="6" t="s">
        <v>147</v>
      </c>
      <c r="H33" s="8"/>
      <c r="I33" s="6"/>
      <c r="J33" s="8"/>
      <c r="K33" s="6"/>
    </row>
    <row r="34" customFormat="false" ht="15" hidden="false" customHeight="false" outlineLevel="0" collapsed="false">
      <c r="A34" s="4" t="s">
        <v>148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22.35" hidden="false" customHeight="false" outlineLevel="0" collapsed="false">
      <c r="A35" s="5" t="s">
        <v>149</v>
      </c>
      <c r="B35" s="6" t="s">
        <v>150</v>
      </c>
      <c r="C35" s="7" t="s">
        <v>16</v>
      </c>
      <c r="D35" s="6" t="s">
        <v>151</v>
      </c>
      <c r="E35" s="6" t="s">
        <v>152</v>
      </c>
      <c r="F35" s="6" t="s">
        <v>153</v>
      </c>
      <c r="G35" s="6" t="s">
        <v>154</v>
      </c>
      <c r="H35" s="8"/>
      <c r="I35" s="6"/>
      <c r="J35" s="8"/>
      <c r="K35" s="6"/>
    </row>
    <row r="36" customFormat="false" ht="22.35" hidden="false" customHeight="false" outlineLevel="0" collapsed="false">
      <c r="A36" s="5" t="s">
        <v>155</v>
      </c>
      <c r="B36" s="6" t="s">
        <v>150</v>
      </c>
      <c r="C36" s="7" t="s">
        <v>16</v>
      </c>
      <c r="D36" s="6" t="s">
        <v>156</v>
      </c>
      <c r="E36" s="6" t="s">
        <v>157</v>
      </c>
      <c r="F36" s="6" t="s">
        <v>158</v>
      </c>
      <c r="G36" s="6" t="s">
        <v>159</v>
      </c>
      <c r="H36" s="8"/>
      <c r="I36" s="6"/>
      <c r="J36" s="8"/>
      <c r="K36" s="6"/>
    </row>
    <row r="37" customFormat="false" ht="22.35" hidden="false" customHeight="false" outlineLevel="0" collapsed="false">
      <c r="A37" s="5" t="s">
        <v>160</v>
      </c>
      <c r="B37" s="6" t="s">
        <v>150</v>
      </c>
      <c r="C37" s="7" t="s">
        <v>16</v>
      </c>
      <c r="D37" s="6" t="s">
        <v>161</v>
      </c>
      <c r="E37" s="6" t="s">
        <v>162</v>
      </c>
      <c r="F37" s="6" t="s">
        <v>163</v>
      </c>
      <c r="G37" s="6" t="s">
        <v>164</v>
      </c>
      <c r="H37" s="8"/>
      <c r="I37" s="6"/>
      <c r="J37" s="8"/>
      <c r="K37" s="6"/>
    </row>
    <row r="38" customFormat="false" ht="22.35" hidden="false" customHeight="false" outlineLevel="0" collapsed="false">
      <c r="A38" s="5" t="s">
        <v>165</v>
      </c>
      <c r="B38" s="6" t="s">
        <v>150</v>
      </c>
      <c r="C38" s="9" t="s">
        <v>27</v>
      </c>
      <c r="D38" s="6" t="s">
        <v>166</v>
      </c>
      <c r="E38" s="6" t="s">
        <v>167</v>
      </c>
      <c r="F38" s="6" t="s">
        <v>163</v>
      </c>
      <c r="G38" s="6" t="s">
        <v>168</v>
      </c>
      <c r="H38" s="8"/>
      <c r="I38" s="6"/>
      <c r="J38" s="8"/>
      <c r="K38" s="6"/>
    </row>
    <row r="39" customFormat="false" ht="22.35" hidden="false" customHeight="false" outlineLevel="0" collapsed="false">
      <c r="A39" s="5" t="s">
        <v>169</v>
      </c>
      <c r="B39" s="6" t="s">
        <v>150</v>
      </c>
      <c r="C39" s="7" t="s">
        <v>16</v>
      </c>
      <c r="D39" s="6" t="s">
        <v>170</v>
      </c>
      <c r="E39" s="6" t="s">
        <v>171</v>
      </c>
      <c r="F39" s="6" t="s">
        <v>172</v>
      </c>
      <c r="G39" s="6" t="s">
        <v>173</v>
      </c>
      <c r="H39" s="8"/>
      <c r="I39" s="6"/>
      <c r="J39" s="8"/>
      <c r="K39" s="6"/>
    </row>
    <row r="40" customFormat="false" ht="22.35" hidden="false" customHeight="false" outlineLevel="0" collapsed="false">
      <c r="A40" s="5" t="s">
        <v>174</v>
      </c>
      <c r="B40" s="6" t="s">
        <v>150</v>
      </c>
      <c r="C40" s="9" t="s">
        <v>27</v>
      </c>
      <c r="D40" s="6" t="s">
        <v>175</v>
      </c>
      <c r="E40" s="6" t="s">
        <v>176</v>
      </c>
      <c r="F40" s="6" t="s">
        <v>177</v>
      </c>
      <c r="G40" s="6" t="s">
        <v>178</v>
      </c>
      <c r="H40" s="8"/>
      <c r="I40" s="6"/>
      <c r="J40" s="8"/>
      <c r="K40" s="6"/>
    </row>
    <row r="41" customFormat="false" ht="22.35" hidden="false" customHeight="false" outlineLevel="0" collapsed="false">
      <c r="A41" s="5" t="s">
        <v>179</v>
      </c>
      <c r="B41" s="6" t="s">
        <v>150</v>
      </c>
      <c r="C41" s="9" t="s">
        <v>27</v>
      </c>
      <c r="D41" s="6" t="s">
        <v>180</v>
      </c>
      <c r="E41" s="6" t="s">
        <v>181</v>
      </c>
      <c r="F41" s="6" t="s">
        <v>182</v>
      </c>
      <c r="G41" s="6" t="s">
        <v>183</v>
      </c>
      <c r="H41" s="8"/>
      <c r="I41" s="6"/>
      <c r="J41" s="8"/>
      <c r="K41" s="6"/>
    </row>
    <row r="42" customFormat="false" ht="15" hidden="false" customHeight="false" outlineLevel="0" collapsed="false">
      <c r="A42" s="4" t="s">
        <v>184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customFormat="false" ht="22.35" hidden="false" customHeight="false" outlineLevel="0" collapsed="false">
      <c r="A43" s="5" t="s">
        <v>185</v>
      </c>
      <c r="B43" s="6" t="s">
        <v>186</v>
      </c>
      <c r="C43" s="7" t="s">
        <v>16</v>
      </c>
      <c r="D43" s="6" t="s">
        <v>187</v>
      </c>
      <c r="E43" s="6" t="s">
        <v>188</v>
      </c>
      <c r="F43" s="6" t="s">
        <v>189</v>
      </c>
      <c r="G43" s="6" t="s">
        <v>190</v>
      </c>
      <c r="H43" s="8"/>
      <c r="I43" s="6"/>
      <c r="J43" s="8"/>
      <c r="K43" s="6"/>
    </row>
    <row r="44" customFormat="false" ht="22.35" hidden="false" customHeight="false" outlineLevel="0" collapsed="false">
      <c r="A44" s="5" t="s">
        <v>191</v>
      </c>
      <c r="B44" s="6" t="s">
        <v>186</v>
      </c>
      <c r="C44" s="7" t="s">
        <v>16</v>
      </c>
      <c r="D44" s="6" t="s">
        <v>192</v>
      </c>
      <c r="E44" s="6" t="s">
        <v>193</v>
      </c>
      <c r="F44" s="6" t="s">
        <v>194</v>
      </c>
      <c r="G44" s="6" t="s">
        <v>195</v>
      </c>
      <c r="H44" s="8"/>
      <c r="I44" s="6"/>
      <c r="J44" s="8"/>
      <c r="K44" s="6"/>
    </row>
    <row r="45" customFormat="false" ht="22.35" hidden="false" customHeight="false" outlineLevel="0" collapsed="false">
      <c r="A45" s="5" t="s">
        <v>196</v>
      </c>
      <c r="B45" s="6" t="s">
        <v>186</v>
      </c>
      <c r="C45" s="9" t="s">
        <v>27</v>
      </c>
      <c r="D45" s="6" t="s">
        <v>197</v>
      </c>
      <c r="E45" s="6" t="s">
        <v>198</v>
      </c>
      <c r="F45" s="6" t="s">
        <v>199</v>
      </c>
      <c r="G45" s="6" t="s">
        <v>200</v>
      </c>
      <c r="H45" s="8"/>
      <c r="I45" s="6"/>
      <c r="J45" s="8"/>
      <c r="K45" s="6"/>
    </row>
    <row r="46" customFormat="false" ht="22.35" hidden="false" customHeight="false" outlineLevel="0" collapsed="false">
      <c r="A46" s="5" t="s">
        <v>201</v>
      </c>
      <c r="B46" s="6" t="s">
        <v>186</v>
      </c>
      <c r="C46" s="9" t="s">
        <v>27</v>
      </c>
      <c r="D46" s="6" t="s">
        <v>202</v>
      </c>
      <c r="E46" s="6" t="s">
        <v>203</v>
      </c>
      <c r="F46" s="6" t="s">
        <v>204</v>
      </c>
      <c r="G46" s="6" t="s">
        <v>205</v>
      </c>
      <c r="H46" s="8"/>
      <c r="I46" s="6"/>
      <c r="J46" s="8"/>
      <c r="K46" s="6"/>
    </row>
    <row r="47" customFormat="false" ht="22.35" hidden="false" customHeight="false" outlineLevel="0" collapsed="false">
      <c r="A47" s="5" t="s">
        <v>206</v>
      </c>
      <c r="B47" s="6" t="s">
        <v>186</v>
      </c>
      <c r="C47" s="9" t="s">
        <v>27</v>
      </c>
      <c r="D47" s="6" t="s">
        <v>207</v>
      </c>
      <c r="E47" s="6" t="s">
        <v>208</v>
      </c>
      <c r="F47" s="6" t="s">
        <v>209</v>
      </c>
      <c r="G47" s="6" t="s">
        <v>210</v>
      </c>
      <c r="H47" s="8"/>
      <c r="I47" s="6"/>
      <c r="J47" s="8"/>
      <c r="K47" s="6"/>
    </row>
    <row r="48" customFormat="false" ht="15" hidden="false" customHeight="false" outlineLevel="0" collapsed="false">
      <c r="A48" s="4" t="s">
        <v>211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customFormat="false" ht="22.35" hidden="false" customHeight="false" outlineLevel="0" collapsed="false">
      <c r="A49" s="5" t="s">
        <v>212</v>
      </c>
      <c r="B49" s="6" t="s">
        <v>213</v>
      </c>
      <c r="C49" s="7" t="s">
        <v>16</v>
      </c>
      <c r="D49" s="6" t="s">
        <v>214</v>
      </c>
      <c r="E49" s="6" t="s">
        <v>215</v>
      </c>
      <c r="F49" s="6" t="s">
        <v>216</v>
      </c>
      <c r="G49" s="6" t="s">
        <v>217</v>
      </c>
      <c r="H49" s="8"/>
      <c r="I49" s="6"/>
      <c r="J49" s="8"/>
      <c r="K49" s="6"/>
    </row>
    <row r="50" customFormat="false" ht="15" hidden="false" customHeight="false" outlineLevel="0" collapsed="false">
      <c r="A50" s="5" t="s">
        <v>218</v>
      </c>
      <c r="B50" s="6" t="s">
        <v>213</v>
      </c>
      <c r="C50" s="9" t="s">
        <v>27</v>
      </c>
      <c r="D50" s="6" t="s">
        <v>219</v>
      </c>
      <c r="E50" s="6" t="s">
        <v>220</v>
      </c>
      <c r="F50" s="6" t="s">
        <v>221</v>
      </c>
      <c r="G50" s="6" t="s">
        <v>222</v>
      </c>
      <c r="H50" s="8"/>
      <c r="I50" s="6"/>
      <c r="J50" s="8"/>
      <c r="K50" s="6"/>
    </row>
    <row r="51" customFormat="false" ht="32.8" hidden="false" customHeight="false" outlineLevel="0" collapsed="false">
      <c r="A51" s="5" t="s">
        <v>223</v>
      </c>
      <c r="B51" s="6" t="s">
        <v>213</v>
      </c>
      <c r="C51" s="7" t="s">
        <v>16</v>
      </c>
      <c r="D51" s="6" t="s">
        <v>224</v>
      </c>
      <c r="E51" s="6" t="s">
        <v>225</v>
      </c>
      <c r="F51" s="6" t="s">
        <v>226</v>
      </c>
      <c r="G51" s="6" t="s">
        <v>227</v>
      </c>
      <c r="H51" s="8"/>
      <c r="I51" s="6"/>
      <c r="J51" s="8"/>
      <c r="K51" s="6"/>
    </row>
    <row r="52" customFormat="false" ht="22.35" hidden="false" customHeight="false" outlineLevel="0" collapsed="false">
      <c r="A52" s="5" t="s">
        <v>228</v>
      </c>
      <c r="B52" s="6" t="s">
        <v>213</v>
      </c>
      <c r="C52" s="9" t="s">
        <v>27</v>
      </c>
      <c r="D52" s="6" t="s">
        <v>229</v>
      </c>
      <c r="E52" s="6" t="s">
        <v>230</v>
      </c>
      <c r="F52" s="6" t="s">
        <v>231</v>
      </c>
      <c r="G52" s="6" t="s">
        <v>232</v>
      </c>
      <c r="H52" s="8"/>
      <c r="I52" s="6"/>
      <c r="J52" s="8"/>
      <c r="K52" s="6"/>
    </row>
    <row r="53" customFormat="false" ht="22.35" hidden="false" customHeight="false" outlineLevel="0" collapsed="false">
      <c r="A53" s="5" t="s">
        <v>233</v>
      </c>
      <c r="B53" s="6" t="s">
        <v>213</v>
      </c>
      <c r="C53" s="9" t="s">
        <v>27</v>
      </c>
      <c r="D53" s="6" t="s">
        <v>234</v>
      </c>
      <c r="E53" s="6" t="s">
        <v>235</v>
      </c>
      <c r="F53" s="6" t="s">
        <v>236</v>
      </c>
      <c r="G53" s="6" t="s">
        <v>237</v>
      </c>
      <c r="H53" s="8"/>
      <c r="I53" s="6"/>
      <c r="J53" s="8"/>
      <c r="K53" s="6"/>
    </row>
    <row r="54" customFormat="false" ht="15" hidden="false" customHeight="false" outlineLevel="0" collapsed="false">
      <c r="A54" s="4" t="s">
        <v>238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customFormat="false" ht="22.35" hidden="false" customHeight="false" outlineLevel="0" collapsed="false">
      <c r="A55" s="5" t="s">
        <v>239</v>
      </c>
      <c r="B55" s="6" t="s">
        <v>240</v>
      </c>
      <c r="C55" s="7" t="s">
        <v>16</v>
      </c>
      <c r="D55" s="6" t="s">
        <v>241</v>
      </c>
      <c r="E55" s="6" t="s">
        <v>242</v>
      </c>
      <c r="F55" s="6" t="s">
        <v>243</v>
      </c>
      <c r="G55" s="6" t="s">
        <v>244</v>
      </c>
      <c r="H55" s="8"/>
      <c r="I55" s="6"/>
      <c r="J55" s="8"/>
      <c r="K55" s="6"/>
    </row>
    <row r="56" customFormat="false" ht="22.35" hidden="false" customHeight="false" outlineLevel="0" collapsed="false">
      <c r="A56" s="5" t="s">
        <v>245</v>
      </c>
      <c r="B56" s="6" t="s">
        <v>240</v>
      </c>
      <c r="C56" s="7" t="s">
        <v>16</v>
      </c>
      <c r="D56" s="6" t="s">
        <v>246</v>
      </c>
      <c r="E56" s="6" t="s">
        <v>247</v>
      </c>
      <c r="F56" s="6" t="s">
        <v>248</v>
      </c>
      <c r="G56" s="6" t="s">
        <v>249</v>
      </c>
      <c r="H56" s="8"/>
      <c r="I56" s="6"/>
      <c r="J56" s="8"/>
      <c r="K56" s="6"/>
    </row>
    <row r="57" customFormat="false" ht="22.35" hidden="false" customHeight="false" outlineLevel="0" collapsed="false">
      <c r="A57" s="5" t="s">
        <v>250</v>
      </c>
      <c r="B57" s="6" t="s">
        <v>240</v>
      </c>
      <c r="C57" s="9" t="s">
        <v>27</v>
      </c>
      <c r="D57" s="6" t="s">
        <v>251</v>
      </c>
      <c r="E57" s="6" t="s">
        <v>252</v>
      </c>
      <c r="F57" s="6" t="s">
        <v>253</v>
      </c>
      <c r="G57" s="6" t="s">
        <v>254</v>
      </c>
      <c r="H57" s="8"/>
      <c r="I57" s="6"/>
      <c r="J57" s="8"/>
      <c r="K57" s="6"/>
    </row>
    <row r="58" customFormat="false" ht="15" hidden="false" customHeight="false" outlineLevel="0" collapsed="false">
      <c r="A58" s="5" t="s">
        <v>255</v>
      </c>
      <c r="B58" s="6" t="s">
        <v>240</v>
      </c>
      <c r="C58" s="9" t="s">
        <v>27</v>
      </c>
      <c r="D58" s="6" t="s">
        <v>256</v>
      </c>
      <c r="E58" s="6" t="s">
        <v>257</v>
      </c>
      <c r="F58" s="6" t="s">
        <v>258</v>
      </c>
      <c r="G58" s="6" t="s">
        <v>259</v>
      </c>
      <c r="H58" s="8"/>
      <c r="I58" s="6"/>
      <c r="J58" s="8"/>
      <c r="K58" s="6"/>
    </row>
    <row r="59" customFormat="false" ht="22.35" hidden="false" customHeight="false" outlineLevel="0" collapsed="false">
      <c r="A59" s="5" t="s">
        <v>260</v>
      </c>
      <c r="B59" s="6" t="s">
        <v>240</v>
      </c>
      <c r="C59" s="7" t="s">
        <v>16</v>
      </c>
      <c r="D59" s="6" t="s">
        <v>261</v>
      </c>
      <c r="E59" s="6" t="s">
        <v>262</v>
      </c>
      <c r="F59" s="6" t="s">
        <v>263</v>
      </c>
      <c r="G59" s="6" t="s">
        <v>264</v>
      </c>
      <c r="H59" s="8"/>
      <c r="I59" s="6"/>
      <c r="J59" s="8"/>
      <c r="K59" s="6"/>
    </row>
    <row r="60" customFormat="false" ht="15" hidden="false" customHeight="false" outlineLevel="0" collapsed="false">
      <c r="A60" s="5" t="s">
        <v>265</v>
      </c>
      <c r="B60" s="6" t="s">
        <v>240</v>
      </c>
      <c r="C60" s="9" t="s">
        <v>27</v>
      </c>
      <c r="D60" s="6" t="s">
        <v>266</v>
      </c>
      <c r="E60" s="6" t="s">
        <v>267</v>
      </c>
      <c r="F60" s="6" t="s">
        <v>268</v>
      </c>
      <c r="G60" s="6" t="s">
        <v>269</v>
      </c>
      <c r="H60" s="8"/>
      <c r="I60" s="6"/>
      <c r="J60" s="8"/>
      <c r="K60" s="6"/>
    </row>
    <row r="61" customFormat="false" ht="22.35" hidden="false" customHeight="false" outlineLevel="0" collapsed="false">
      <c r="A61" s="5" t="s">
        <v>270</v>
      </c>
      <c r="B61" s="6" t="s">
        <v>240</v>
      </c>
      <c r="C61" s="7" t="s">
        <v>16</v>
      </c>
      <c r="D61" s="6" t="s">
        <v>271</v>
      </c>
      <c r="E61" s="6" t="s">
        <v>272</v>
      </c>
      <c r="F61" s="6" t="s">
        <v>273</v>
      </c>
      <c r="G61" s="6" t="s">
        <v>274</v>
      </c>
      <c r="H61" s="8"/>
      <c r="I61" s="6"/>
      <c r="J61" s="8"/>
      <c r="K61" s="6"/>
    </row>
    <row r="62" customFormat="false" ht="22.35" hidden="false" customHeight="false" outlineLevel="0" collapsed="false">
      <c r="A62" s="5" t="s">
        <v>275</v>
      </c>
      <c r="B62" s="6" t="s">
        <v>240</v>
      </c>
      <c r="C62" s="5" t="s">
        <v>38</v>
      </c>
      <c r="D62" s="6" t="s">
        <v>276</v>
      </c>
      <c r="E62" s="6" t="s">
        <v>62</v>
      </c>
      <c r="F62" s="6" t="s">
        <v>277</v>
      </c>
      <c r="G62" s="6" t="s">
        <v>278</v>
      </c>
      <c r="H62" s="8"/>
      <c r="I62" s="6"/>
      <c r="J62" s="8"/>
      <c r="K62" s="6"/>
    </row>
    <row r="63" customFormat="false" ht="22.35" hidden="false" customHeight="false" outlineLevel="0" collapsed="false">
      <c r="A63" s="5" t="s">
        <v>279</v>
      </c>
      <c r="B63" s="6" t="s">
        <v>240</v>
      </c>
      <c r="C63" s="9" t="s">
        <v>27</v>
      </c>
      <c r="D63" s="6" t="s">
        <v>280</v>
      </c>
      <c r="E63" s="6" t="s">
        <v>62</v>
      </c>
      <c r="F63" s="6" t="s">
        <v>281</v>
      </c>
      <c r="G63" s="6" t="s">
        <v>282</v>
      </c>
      <c r="H63" s="8"/>
      <c r="I63" s="6"/>
      <c r="J63" s="8"/>
      <c r="K63" s="6"/>
    </row>
    <row r="64" customFormat="false" ht="15" hidden="false" customHeight="false" outlineLevel="0" collapsed="false">
      <c r="A64" s="4" t="s">
        <v>283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customFormat="false" ht="22.35" hidden="false" customHeight="false" outlineLevel="0" collapsed="false">
      <c r="A65" s="5" t="s">
        <v>284</v>
      </c>
      <c r="B65" s="6" t="s">
        <v>285</v>
      </c>
      <c r="C65" s="7" t="s">
        <v>16</v>
      </c>
      <c r="D65" s="6" t="s">
        <v>286</v>
      </c>
      <c r="E65" s="6" t="s">
        <v>287</v>
      </c>
      <c r="F65" s="6" t="s">
        <v>288</v>
      </c>
      <c r="G65" s="6" t="s">
        <v>289</v>
      </c>
      <c r="H65" s="8"/>
      <c r="I65" s="6"/>
      <c r="J65" s="8"/>
      <c r="K65" s="6"/>
    </row>
    <row r="66" customFormat="false" ht="15" hidden="false" customHeight="false" outlineLevel="0" collapsed="false">
      <c r="A66" s="5" t="s">
        <v>290</v>
      </c>
      <c r="B66" s="6" t="s">
        <v>285</v>
      </c>
      <c r="C66" s="9" t="s">
        <v>27</v>
      </c>
      <c r="D66" s="6" t="s">
        <v>291</v>
      </c>
      <c r="E66" s="6" t="s">
        <v>292</v>
      </c>
      <c r="F66" s="6" t="s">
        <v>293</v>
      </c>
      <c r="G66" s="6" t="s">
        <v>294</v>
      </c>
      <c r="H66" s="8"/>
      <c r="I66" s="6"/>
      <c r="J66" s="8"/>
      <c r="K66" s="6"/>
    </row>
    <row r="67" customFormat="false" ht="15" hidden="false" customHeight="false" outlineLevel="0" collapsed="false">
      <c r="A67" s="5" t="s">
        <v>295</v>
      </c>
      <c r="B67" s="6" t="s">
        <v>285</v>
      </c>
      <c r="C67" s="5" t="s">
        <v>38</v>
      </c>
      <c r="D67" s="6" t="s">
        <v>296</v>
      </c>
      <c r="E67" s="6" t="s">
        <v>297</v>
      </c>
      <c r="F67" s="6" t="s">
        <v>298</v>
      </c>
      <c r="G67" s="6" t="s">
        <v>299</v>
      </c>
      <c r="H67" s="8"/>
      <c r="I67" s="6"/>
      <c r="J67" s="8"/>
      <c r="K67" s="6"/>
    </row>
    <row r="68" customFormat="false" ht="15" hidden="false" customHeight="false" outlineLevel="0" collapsed="false">
      <c r="A68" s="4" t="s">
        <v>300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customFormat="false" ht="15" hidden="false" customHeight="false" outlineLevel="0" collapsed="false">
      <c r="A69" s="5" t="s">
        <v>301</v>
      </c>
      <c r="B69" s="6" t="s">
        <v>302</v>
      </c>
      <c r="C69" s="7" t="s">
        <v>16</v>
      </c>
      <c r="D69" s="6" t="s">
        <v>303</v>
      </c>
      <c r="E69" s="6" t="s">
        <v>304</v>
      </c>
      <c r="F69" s="6" t="s">
        <v>305</v>
      </c>
      <c r="G69" s="6" t="s">
        <v>306</v>
      </c>
      <c r="H69" s="8"/>
      <c r="I69" s="6"/>
      <c r="J69" s="8"/>
      <c r="K69" s="6"/>
    </row>
    <row r="70" customFormat="false" ht="22.35" hidden="false" customHeight="false" outlineLevel="0" collapsed="false">
      <c r="A70" s="5" t="s">
        <v>307</v>
      </c>
      <c r="B70" s="6" t="s">
        <v>302</v>
      </c>
      <c r="C70" s="7" t="s">
        <v>16</v>
      </c>
      <c r="D70" s="6" t="s">
        <v>308</v>
      </c>
      <c r="E70" s="6" t="s">
        <v>62</v>
      </c>
      <c r="F70" s="6" t="s">
        <v>309</v>
      </c>
      <c r="G70" s="6" t="s">
        <v>310</v>
      </c>
      <c r="H70" s="8"/>
      <c r="I70" s="6"/>
      <c r="J70" s="8"/>
      <c r="K70" s="6"/>
    </row>
    <row r="71" customFormat="false" ht="15" hidden="false" customHeight="false" outlineLevel="0" collapsed="false">
      <c r="A71" s="5" t="s">
        <v>311</v>
      </c>
      <c r="B71" s="6" t="s">
        <v>302</v>
      </c>
      <c r="C71" s="9" t="s">
        <v>27</v>
      </c>
      <c r="D71" s="6" t="s">
        <v>312</v>
      </c>
      <c r="E71" s="6" t="s">
        <v>62</v>
      </c>
      <c r="F71" s="6" t="s">
        <v>313</v>
      </c>
      <c r="G71" s="6" t="s">
        <v>314</v>
      </c>
      <c r="H71" s="8"/>
      <c r="I71" s="6"/>
      <c r="J71" s="8"/>
      <c r="K71" s="6"/>
    </row>
    <row r="72" customFormat="false" ht="43.25" hidden="false" customHeight="false" outlineLevel="0" collapsed="false">
      <c r="A72" s="5" t="s">
        <v>315</v>
      </c>
      <c r="B72" s="6" t="s">
        <v>302</v>
      </c>
      <c r="C72" s="7" t="s">
        <v>16</v>
      </c>
      <c r="D72" s="6" t="s">
        <v>316</v>
      </c>
      <c r="E72" s="6" t="s">
        <v>317</v>
      </c>
      <c r="F72" s="6" t="s">
        <v>318</v>
      </c>
      <c r="G72" s="6" t="s">
        <v>319</v>
      </c>
      <c r="H72" s="8"/>
      <c r="I72" s="6"/>
      <c r="J72" s="8"/>
      <c r="K72" s="6"/>
    </row>
    <row r="74" customFormat="false" ht="15" hidden="false" customHeight="false" outlineLevel="0" collapsed="false">
      <c r="A74" s="10" t="s">
        <v>320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</row>
  </sheetData>
  <autoFilter ref="A4:K72"/>
  <mergeCells count="13">
    <mergeCell ref="A1:K1"/>
    <mergeCell ref="A2:K2"/>
    <mergeCell ref="A5:K5"/>
    <mergeCell ref="A12:K12"/>
    <mergeCell ref="A19:K19"/>
    <mergeCell ref="A28:K28"/>
    <mergeCell ref="A34:K34"/>
    <mergeCell ref="A42:K42"/>
    <mergeCell ref="A48:K48"/>
    <mergeCell ref="A54:K54"/>
    <mergeCell ref="A64:K64"/>
    <mergeCell ref="A68:K68"/>
    <mergeCell ref="A74:K74"/>
  </mergeCells>
  <dataValidations count="1">
    <dataValidation allowBlank="true" errorStyle="stop" operator="between" showDropDown="false" showErrorMessage="false" showInputMessage="false" sqref="H5:H72" type="list">
      <formula1>"Pass,Fail,Blocked,Not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1" t="s">
        <v>321</v>
      </c>
      <c r="B1" s="11"/>
      <c r="C1" s="11"/>
      <c r="D1" s="11"/>
      <c r="E1" s="11"/>
    </row>
    <row r="3" customFormat="false" ht="15" hidden="false" customHeight="false" outlineLevel="0" collapsed="false">
      <c r="A3" s="12" t="s">
        <v>322</v>
      </c>
      <c r="B3" s="12" t="s">
        <v>323</v>
      </c>
    </row>
    <row r="4" customFormat="false" ht="15" hidden="false" customHeight="false" outlineLevel="0" collapsed="false">
      <c r="A4" s="13" t="s">
        <v>324</v>
      </c>
      <c r="B4" s="14" t="n">
        <f aca="false">COUNTIF('Test Cases'!A5:A72,"TC-*")</f>
        <v>58</v>
      </c>
    </row>
    <row r="5" customFormat="false" ht="15" hidden="false" customHeight="false" outlineLevel="0" collapsed="false">
      <c r="A5" s="15" t="s">
        <v>325</v>
      </c>
      <c r="B5" s="16" t="n">
        <f aca="false">COUNTIF('Test Cases'!C5:C72,"P1")</f>
        <v>28</v>
      </c>
    </row>
    <row r="6" customFormat="false" ht="15" hidden="false" customHeight="false" outlineLevel="0" collapsed="false">
      <c r="A6" s="13" t="s">
        <v>27</v>
      </c>
      <c r="B6" s="14" t="n">
        <f aca="false">COUNTIF('Test Cases'!C5:C72,"P2")</f>
        <v>26</v>
      </c>
    </row>
    <row r="7" customFormat="false" ht="15" hidden="false" customHeight="false" outlineLevel="0" collapsed="false">
      <c r="A7" s="15" t="s">
        <v>38</v>
      </c>
      <c r="B7" s="16" t="n">
        <f aca="false">COUNTIF('Test Cases'!C5:C72,"P3")</f>
        <v>4</v>
      </c>
    </row>
    <row r="8" customFormat="false" ht="15" hidden="false" customHeight="false" outlineLevel="0" collapsed="false">
      <c r="A8" s="13" t="s">
        <v>326</v>
      </c>
      <c r="B8" s="14" t="n">
        <f aca="false">COUNTIF('Test Cases'!H5:H72,"Pass")</f>
        <v>0</v>
      </c>
    </row>
    <row r="9" customFormat="false" ht="15" hidden="false" customHeight="false" outlineLevel="0" collapsed="false">
      <c r="A9" s="15" t="s">
        <v>327</v>
      </c>
      <c r="B9" s="16" t="n">
        <f aca="false">COUNTIF('Test Cases'!H5:H72,"Fail")</f>
        <v>0</v>
      </c>
    </row>
    <row r="10" customFormat="false" ht="15" hidden="false" customHeight="false" outlineLevel="0" collapsed="false">
      <c r="A10" s="13" t="s">
        <v>328</v>
      </c>
      <c r="B10" s="14" t="n">
        <f aca="false">COUNTIF('Test Cases'!H5:H72,"Blocked")</f>
        <v>0</v>
      </c>
    </row>
    <row r="11" customFormat="false" ht="15" hidden="false" customHeight="false" outlineLevel="0" collapsed="false">
      <c r="A11" s="15" t="s">
        <v>329</v>
      </c>
      <c r="B11" s="16" t="n">
        <f aca="false">COUNTIF('Test Cases'!A5:A72,"TC-*")-COUNTIF('Test Cases'!H5:H72,"Pass")-COUNTIF('Test Cases'!H5:H72,"Fail")-COUNTIF('Test Cases'!H5:H72,"Blocked")</f>
        <v>58</v>
      </c>
    </row>
    <row r="13" customFormat="false" ht="15" hidden="false" customHeight="false" outlineLevel="0" collapsed="false">
      <c r="A13" s="17" t="s">
        <v>330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2026-08-12T19:15:07Z</dcterms:created>
  <dc:creator>openpyxl</dc:creator>
  <dc:description/>
  <dc:language>en-US</dc:language>
  <cp:lastModifiedBy/>
  <dcterms:modified xsi:type="dcterms:W3CDTF">2026-08-12T19:15:07Z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