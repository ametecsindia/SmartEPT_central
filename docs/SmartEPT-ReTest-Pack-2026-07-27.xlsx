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est Cases" sheetId="2" state="visible" r:id="rId4"/>
    <sheet name="Summary" sheetId="3" state="visible" r:id="rId5"/>
  </sheets>
  <definedNames>
    <definedName function="false" hidden="true" localSheetId="1" name="_xlnm._FilterDatabase" vbProcedure="false">'Test Cases'!$A$2:$M$90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<sst xmlns="http://schemas.openxmlformats.org/spreadsheetml/2006/main" count="959" uniqueCount="574">
  <si>
    <t xml:space="preserve">SmartEPT — Regression Re-Test Pack</t>
  </si>
  <si>
    <t xml:space="preserve">Last 10 sessions across Central, Product (SmartEPT server/console) and the desktop Agent</t>
  </si>
  <si>
    <t xml:space="preserve">Version 1.0  ·  27 July 2026  ·  Ametecs India Private Limited</t>
  </si>
  <si>
    <t xml:space="preserve">How to use this pack</t>
  </si>
  <si>
    <t xml:space="preserve">1. Work the 'Test Cases' tab</t>
  </si>
  <si>
    <t xml:space="preserve">One row per case. Read Preconditions, follow Steps, compare against Expected Result.</t>
  </si>
  <si>
    <t xml:space="preserve">2. Record the outcome</t>
  </si>
  <si>
    <t xml:space="preserve">In the Result column pick Pass / Fail / Blocked / Not run from the dropdown. Add your name, the date, and any Notes (for a Fail, paste the exact error text).</t>
  </si>
  <si>
    <t xml:space="preserve">3. Watch the Summary tab</t>
  </si>
  <si>
    <t xml:space="preserve">It totals Pass/Fail/Blocked/Not-run per session automatically and shows a pass rate.</t>
  </si>
  <si>
    <t xml:space="preserve">Priority key</t>
  </si>
  <si>
    <t xml:space="preserve">P1 = critical (money / data / licensing) · P2 = high · P3 = medium.</t>
  </si>
  <si>
    <t xml:space="preserve">Environment note</t>
  </si>
  <si>
    <t xml:space="preserve">Owner must first run the pending migrations + rebuild the agent + confirm the OS scheduler runs 'php artisan schedule:run' every minute, or scheduler-dependent cases (meetings auto-close, biometric sync, archives, dunning) will look failed when they are only un-run.</t>
  </si>
  <si>
    <t xml:space="preserve">Repos under test</t>
  </si>
  <si>
    <t xml:space="preserve">Central = C:\laragon\www\smartept-central · Product = C:\laragon\www\smartept · Agent = ...\Projects\SmartEPT\agent.</t>
  </si>
  <si>
    <t xml:space="preserve">Example filled row</t>
  </si>
  <si>
    <t xml:space="preserve">Case ID</t>
  </si>
  <si>
    <t xml:space="preserve">Session</t>
  </si>
  <si>
    <t xml:space="preserve">Area</t>
  </si>
  <si>
    <t xml:space="preserve">Module</t>
  </si>
  <si>
    <t xml:space="preserve">Priority</t>
  </si>
  <si>
    <t xml:space="preserve">Title</t>
  </si>
  <si>
    <t xml:space="preserve">Preconditions</t>
  </si>
  <si>
    <t xml:space="preserve">Steps</t>
  </si>
  <si>
    <t xml:space="preserve">Expected</t>
  </si>
  <si>
    <t xml:space="preserve">Result</t>
  </si>
  <si>
    <t xml:space="preserve">Tester</t>
  </si>
  <si>
    <t xml:space="preserve">Date</t>
  </si>
  <si>
    <t xml:space="preserve">Notes</t>
  </si>
  <si>
    <t xml:space="preserve">S1-01</t>
  </si>
  <si>
    <t xml:space="preserve">Pricing v2 Finalise (27-Jul)</t>
  </si>
  <si>
    <t xml:space="preserve">Central</t>
  </si>
  <si>
    <t xml:space="preserve">Licensing / Grandfather</t>
  </si>
  <si>
    <t xml:space="preserve">P1</t>
  </si>
  <si>
    <t xml:space="preserve">Legacy licence renewal is price-capped</t>
  </si>
  <si>
    <t xml:space="preserve">...</t>
  </si>
  <si>
    <t xml:space="preserve">Pass</t>
  </si>
  <si>
    <t xml:space="preserve">A. Tester</t>
  </si>
  <si>
    <t xml:space="preserve">27-Jul-2026</t>
  </si>
  <si>
    <t xml:space="preserve">Cap line showed -₹4,200; total within 20%.</t>
  </si>
  <si>
    <t xml:space="preserve">SmartEPT — Regression Re-Test Cases (last 10 sessions)</t>
  </si>
  <si>
    <t xml:space="preserve">Pri</t>
  </si>
  <si>
    <t xml:space="preserve">Expected Result</t>
  </si>
  <si>
    <t xml:space="preserve">Migration 2026_07_27_000200 run; an existing (pre-v2) licence exists with pricing_model=legacy and a legacy_baseline_inr.</t>
  </si>
  <si>
    <t xml:space="preserve">Open the legacy client's licence and raise a renewal (portal Renew or admin). Inspect the quote lines.</t>
  </si>
  <si>
    <t xml:space="preserve">A 'Loyalty price protection' negative line appears; the ex-GST subtotal is capped at baseline x (1 + grandfather cap % ), so the total cannot exceed ~20% over the previous rate.</t>
  </si>
  <si>
    <t xml:space="preserve">Not run</t>
  </si>
  <si>
    <t xml:space="preserve">S1-02</t>
  </si>
  <si>
    <t xml:space="preserve">P2</t>
  </si>
  <si>
    <t xml:space="preserve">Licence flips to v2 after the grandfathered renewal</t>
  </si>
  <si>
    <t xml:space="preserve">The capped renewal from S1-01 is paid.</t>
  </si>
  <si>
    <t xml:space="preserve">Pay the renewal order; then re-open the licence.</t>
  </si>
  <si>
    <t xml:space="preserve">pricing_model is now 'v2' and legacy_baseline_inr is cleared; a subsequent renewal is quoted at full v2 rate (no cap line).</t>
  </si>
  <si>
    <t xml:space="preserve">S1-03</t>
  </si>
  <si>
    <t xml:space="preserve">P3</t>
  </si>
  <si>
    <t xml:space="preserve">New licence defaults to v2 (never grandfathered)</t>
  </si>
  <si>
    <t xml:space="preserve">Migration run.</t>
  </si>
  <si>
    <t xml:space="preserve">Issue a brand-new licence to a new tenant.</t>
  </si>
  <si>
    <t xml:space="preserve">pricing_model = v2 by default; no cap logic applies on its renewals.</t>
  </si>
  <si>
    <t xml:space="preserve">S1-04</t>
  </si>
  <si>
    <t xml:space="preserve">Orders / PO number</t>
  </si>
  <si>
    <t xml:space="preserve">PO number captured on admin New Order/Quote</t>
  </si>
  <si>
    <t xml:space="preserve">Logged in as super/sales.</t>
  </si>
  <si>
    <t xml:space="preserve">Orders -&gt; New Order/Quote; fill Client, users, enter a Client PO number; create the order.</t>
  </si>
  <si>
    <t xml:space="preserve">The order is created with the PO number stored (visible on the order and its quote print).</t>
  </si>
  <si>
    <t xml:space="preserve">S1-05</t>
  </si>
  <si>
    <t xml:space="preserve">PO number captured on client portal Buy</t>
  </si>
  <si>
    <t xml:space="preserve">Logged into the client portal.</t>
  </si>
  <si>
    <t xml:space="preserve">Buy screen -&gt; enter users + a PO number -&gt; raise a quotation.</t>
  </si>
  <si>
    <t xml:space="preserve">The quotation carries the PO number.</t>
  </si>
  <si>
    <t xml:space="preserve">S1-06</t>
  </si>
  <si>
    <t xml:space="preserve">Quote / Proforma</t>
  </si>
  <si>
    <t xml:space="preserve">Quotation prints as 'Quotation / Proforma Invoice' with PO + validity</t>
  </si>
  <si>
    <t xml:space="preserve">An order/quote with a PO number exists.</t>
  </si>
  <si>
    <t xml:space="preserve">Open the order's Quotation/Proforma print (admin or portal).</t>
  </si>
  <si>
    <t xml:space="preserve">Title reads 'QUOTATION / PROFORMA INVOICE'; the PO number and a 'valid until &lt;date&gt;' line are shown; terms show the same validity date.</t>
  </si>
  <si>
    <t xml:space="preserve">S1-07</t>
  </si>
  <si>
    <t xml:space="preserve">Checkout / Expiry</t>
  </si>
  <si>
    <t xml:space="preserve">Expired pay-link refuses payment (page)</t>
  </si>
  <si>
    <t xml:space="preserve">An order whose valid_until is in the past, with nothing paid.</t>
  </si>
  <si>
    <t xml:space="preserve">Open /pay/{number}/{token} for that order.</t>
  </si>
  <si>
    <t xml:space="preserve">The page shows 'This quotation has expired — contact sales' and offers no pay button.</t>
  </si>
  <si>
    <t xml:space="preserve">S1-08</t>
  </si>
  <si>
    <t xml:space="preserve">Expired quote refuses Razorpay &amp; Stripe init</t>
  </si>
  <si>
    <t xml:space="preserve">Expired unpaid order as above; a gateway enabled.</t>
  </si>
  <si>
    <t xml:space="preserve">Attempt to start Razorpay and Stripe payment on the expired order.</t>
  </si>
  <si>
    <t xml:space="preserve">Both refuse with HTTP 410 and a 'quotation has expired' message; no charge is initiated.</t>
  </si>
  <si>
    <t xml:space="preserve">S1-09</t>
  </si>
  <si>
    <t xml:space="preserve">A paid/part-paid (credit) order stays payable after date</t>
  </si>
  <si>
    <t xml:space="preserve">An order that is already part-paid/provisioned and past valid_until.</t>
  </si>
  <si>
    <t xml:space="preserve">Open its pay-link.</t>
  </si>
  <si>
    <t xml:space="preserve">The link stays live and collects the remaining balance (expiry only blocks untouched quotes).</t>
  </si>
  <si>
    <t xml:space="preserve">S1-10</t>
  </si>
  <si>
    <t xml:space="preserve">Plans / Cleanup</t>
  </si>
  <si>
    <t xml:space="preserve">Plans table shows v2 perpetual bands, not legacy per-device</t>
  </si>
  <si>
    <t xml:space="preserve">Logged in as super; PricingV2Seeder run.</t>
  </si>
  <si>
    <t xml:space="preserve">Open Plans &amp; Pricing.</t>
  </si>
  <si>
    <t xml:space="preserve">The 'Perpetual (by users)' column lists the user-band prices; the old 'Perpetual/Device' and 'Server Licence' columns are gone.</t>
  </si>
  <si>
    <t xml:space="preserve">S1-11</t>
  </si>
  <si>
    <t xml:space="preserve">Edit-plan modal has no legacy per-device inputs; save works</t>
  </si>
  <si>
    <t xml:space="preserve">Super role.</t>
  </si>
  <si>
    <t xml:space="preserve">Plans -&gt; Edit the SmartEPT plan; change the annual rate; Save.</t>
  </si>
  <si>
    <t xml:space="preserve">No 'Perpetual/device' or 'Server licence' inputs; the read-only perpetual bands show; Save succeeds and the annual rate updates.</t>
  </si>
  <si>
    <t xml:space="preserve">S1-12</t>
  </si>
  <si>
    <t xml:space="preserve">Orders / Plan</t>
  </si>
  <si>
    <t xml:space="preserve">New Order form offers the single SmartEPT plan</t>
  </si>
  <si>
    <t xml:space="preserve">Super/sales.</t>
  </si>
  <si>
    <t xml:space="preserve">Orders -&gt; New Order/Quote; open the Plan dropdown.</t>
  </si>
  <si>
    <t xml:space="preserve">Only 'SmartEPT — all features' is offered (no Core/Professional/Enterprise).</t>
  </si>
  <si>
    <t xml:space="preserve">S1-13</t>
  </si>
  <si>
    <t xml:space="preserve">Settings</t>
  </si>
  <si>
    <t xml:space="preserve">Grandfather cap % and quote validity days are editable</t>
  </si>
  <si>
    <t xml:space="preserve">Super role; migration run.</t>
  </si>
  <si>
    <t xml:space="preserve">Settings -&gt; Pricing; change pricing_grandfather_cap_pct and quote_validity_days; save; raise a new quote.</t>
  </si>
  <si>
    <t xml:space="preserve">New quotes use the edited validity window; grandfathered renewals use the edited cap.</t>
  </si>
  <si>
    <t xml:space="preserve">S2-01</t>
  </si>
  <si>
    <t xml:space="preserve">Pricing v2 (26-Jul)</t>
  </si>
  <si>
    <t xml:space="preserve">Pricing / Cloud</t>
  </si>
  <si>
    <t xml:space="preserve">Cloud quote by user band + cycle</t>
  </si>
  <si>
    <t xml:space="preserve">PricingV2Seeder run.</t>
  </si>
  <si>
    <t xml:space="preserve">Raise a Cloud (subscription) quote at 30, 250 and 1000 users on Annual, then Half-Yearly, then Quarterly.</t>
  </si>
  <si>
    <t xml:space="preserve">Per-user rate matches the band ladder; Annual is the published rate, Half-Yearly ~10% above, Quarterly the base; hosting/storage are included (no separate storage line).</t>
  </si>
  <si>
    <t xml:space="preserve">S2-02</t>
  </si>
  <si>
    <t xml:space="preserve">Pricing / Perpetual</t>
  </si>
  <si>
    <t xml:space="preserve">Perpetual quote by capacity band</t>
  </si>
  <si>
    <t xml:space="preserve">Seeder run.</t>
  </si>
  <si>
    <t xml:space="preserve">Raise a Perpetual quote at 30, 100, 500 users.</t>
  </si>
  <si>
    <t xml:space="preserve">One-time price matches the perpetual band ladder; described as lifetime/client-hosted.</t>
  </si>
  <si>
    <t xml:space="preserve">S2-03</t>
  </si>
  <si>
    <t xml:space="preserve">Pricing / Custom</t>
  </si>
  <si>
    <t xml:space="preserve">&gt;5000 users returns a custom quotation</t>
  </si>
  <si>
    <t xml:space="preserve">Raise a Cloud or Perpetual quote above the top band (e.g. 6000 users).</t>
  </si>
  <si>
    <t xml:space="preserve">The system returns a 'request a custom quotation' response, not a number.</t>
  </si>
  <si>
    <t xml:space="preserve">S2-04</t>
  </si>
  <si>
    <t xml:space="preserve">Pricing / Setup</t>
  </si>
  <si>
    <t xml:space="preserve">Setup fee = ₹5,000 + ₹100 per extra user, uncapped</t>
  </si>
  <si>
    <t xml:space="preserve">On a first order, check the setup line at 30, 100, 1000 users.</t>
  </si>
  <si>
    <t xml:space="preserve">₹5,000 covers 30 users; +₹100 per user beyond; grows linearly with no cap.</t>
  </si>
  <si>
    <t xml:space="preserve">S2-05</t>
  </si>
  <si>
    <t xml:space="preserve">Pricing / AMC</t>
  </si>
  <si>
    <t xml:space="preserve">AMC is year-1 included, ~18% thereafter</t>
  </si>
  <si>
    <t xml:space="preserve">A perpetual licence issued.</t>
  </si>
  <si>
    <t xml:space="preserve">Check AMC on the perpetual licence; view amc_expires_at.</t>
  </si>
  <si>
    <t xml:space="preserve">Year-1 updates/support included (amc_expires_at = +1yr); AMC renewal quotes ~18% of the prevailing band price.</t>
  </si>
  <si>
    <t xml:space="preserve">S2-06</t>
  </si>
  <si>
    <t xml:space="preserve">Pricing / Discount</t>
  </si>
  <si>
    <t xml:space="preserve">Ecosystem 10% discount applies on both models</t>
  </si>
  <si>
    <t xml:space="preserve">A tenant flagged as an existing SmartDCM/SmartPRS customer.</t>
  </si>
  <si>
    <t xml:space="preserve">Raise a Cloud and a Perpetual quote for that tenant.</t>
  </si>
  <si>
    <t xml:space="preserve">A flat 10% ecosystem discount is applied on both.</t>
  </si>
  <si>
    <t xml:space="preserve">S2-07</t>
  </si>
  <si>
    <t xml:space="preserve">Landing</t>
  </si>
  <si>
    <t xml:space="preserve">Landing / Pricing</t>
  </si>
  <si>
    <t xml:space="preserve">Landing pricing section shows Cloud vs Perpetual</t>
  </si>
  <si>
    <t xml:space="preserve">Landing deployed; API reachable.</t>
  </si>
  <si>
    <t xml:space="preserve">Open / (landing) -&gt; pricing section; toggle the cycle; use the user-scale picker.</t>
  </si>
  <si>
    <t xml:space="preserve">Cloud rental (bands + cycle toggle) and Perpetual (capacity ladder + optional AMC) both render; compare table + FAQ present; numbers come from the API.</t>
  </si>
  <si>
    <t xml:space="preserve">S2-08</t>
  </si>
  <si>
    <t xml:space="preserve">Signup estimate</t>
  </si>
  <si>
    <t xml:space="preserve">Signup estimate supports Cloud and Perpetual</t>
  </si>
  <si>
    <t xml:space="preserve">On the client signup page.</t>
  </si>
  <si>
    <t xml:space="preserve">Use the estimate with the Rent/Own toggle at a few user counts.</t>
  </si>
  <si>
    <t xml:space="preserve">Cloud shows per-user rental (storage folded in); Perpetual shows one-time band price + AMC.</t>
  </si>
  <si>
    <t xml:space="preserve">S2-09</t>
  </si>
  <si>
    <t xml:space="preserve">Portal / Buy</t>
  </si>
  <si>
    <t xml:space="preserve">Portal Buy screen sends the right kind</t>
  </si>
  <si>
    <t xml:space="preserve">Logged into portal.</t>
  </si>
  <si>
    <t xml:space="preserve">Buy screen -&gt; toggle Cloud vs Perpetual; set users; raise.</t>
  </si>
  <si>
    <t xml:space="preserve">The order kind matches the toggle; no hosting toggle shown (implied by kind).</t>
  </si>
  <si>
    <t xml:space="preserve">S2-10</t>
  </si>
  <si>
    <t xml:space="preserve">Admin / Issue</t>
  </si>
  <si>
    <t xml:space="preserve">Admin Issue-Licence uses the single SmartEPT plan</t>
  </si>
  <si>
    <t xml:space="preserve">Licences -&gt; Issue Licence.</t>
  </si>
  <si>
    <t xml:space="preserve">Plan is the single SmartEPT product; old tiers not offered.</t>
  </si>
  <si>
    <t xml:space="preserve">S2-11</t>
  </si>
  <si>
    <t xml:space="preserve">Plans</t>
  </si>
  <si>
    <t xml:space="preserve">Old plans are deactivated, not offered</t>
  </si>
  <si>
    <t xml:space="preserve">Check Core/Professional/Enterprise across quote/issue/portal.</t>
  </si>
  <si>
    <t xml:space="preserve">They are deactivated and not selectable anywhere in the new flows.</t>
  </si>
  <si>
    <t xml:space="preserve">S3-01</t>
  </si>
  <si>
    <t xml:space="preserve">Bug round 25-Jul</t>
  </si>
  <si>
    <t xml:space="preserve">Product</t>
  </si>
  <si>
    <t xml:space="preserve">Meetings</t>
  </si>
  <si>
    <t xml:space="preserve">Meeting does not auto-complete at scheduled end; +4h long-stop</t>
  </si>
  <si>
    <t xml:space="preserve">schedule:run every minute; a meeting whose scheduled end has passed but is still running.</t>
  </si>
  <si>
    <t xml:space="preserve">Let a meeting overrun its scheduled end; observe status; leave it 4h with no joins vs with joins.</t>
  </si>
  <si>
    <t xml:space="preserve">It stays IN_PROGRESS past scheduled end; at +4h it becomes AUTO_CLOSED (had attendance) or NO_SHOW (zero joins).</t>
  </si>
  <si>
    <t xml:space="preserve">S3-02</t>
  </si>
  <si>
    <t xml:space="preserve">End-meeting rights: organizer + company/branch/HR/super</t>
  </si>
  <si>
    <t xml:space="preserve">A running meeting.</t>
  </si>
  <si>
    <t xml:space="preserve">Try 'End now' as the organizer, then as a company/branch/HR/super admin, then as an unrelated user.</t>
  </si>
  <si>
    <t xml:space="preserve">Organizer and those admin roles can end it (records actual_end_at + ended_by); others cannot.</t>
  </si>
  <si>
    <t xml:space="preserve">S3-03</t>
  </si>
  <si>
    <t xml:space="preserve">Attendance / Late</t>
  </si>
  <si>
    <t xml:space="preserve">Late grace read from the Attendance policy</t>
  </si>
  <si>
    <t xml:space="preserve">An employee with a shift start_time and an Attendance policy with late_grace_minutes assigned.</t>
  </si>
  <si>
    <t xml:space="preserve">Have the employee check in after the shift start but within grace, then beyond grace.</t>
  </si>
  <si>
    <t xml:space="preserve">Within grace = not late; beyond = late by the policy's grace (falls back to shift grace only if no policy).</t>
  </si>
  <si>
    <t xml:space="preserve">S3-04</t>
  </si>
  <si>
    <t xml:space="preserve">Permissions</t>
  </si>
  <si>
    <t xml:space="preserve">Permission matrix save persists</t>
  </si>
  <si>
    <t xml:space="preserve">Console as an admin who can edit roles.</t>
  </si>
  <si>
    <t xml:space="preserve">Open the role permission matrix, toggle some permissions, Save, then reload.</t>
  </si>
  <si>
    <t xml:space="preserve">Changes persist (the earlier silent no-save bug is gone).</t>
  </si>
  <si>
    <t xml:space="preserve">S3-05</t>
  </si>
  <si>
    <t xml:space="preserve">Employee Archive</t>
  </si>
  <si>
    <t xml:space="preserve">Archive ZIP download returns the file (no 404)</t>
  </si>
  <si>
    <t xml:space="preserve">An employee archive in READY state (built by scheduler).</t>
  </si>
  <si>
    <t xml:space="preserve">Employee Archive panel -&gt; Download ZIP.</t>
  </si>
  <si>
    <t xml:space="preserve">The ZIP downloads (disk-root path fixed; no 404).</t>
  </si>
  <si>
    <t xml:space="preserve">S3-06</t>
  </si>
  <si>
    <t xml:space="preserve">Violations</t>
  </si>
  <si>
    <t xml:space="preserve">Violations CSV export returns same-day rows</t>
  </si>
  <si>
    <t xml:space="preserve">Violations exist for today.</t>
  </si>
  <si>
    <t xml:space="preserve">Export the violations CSV for a single day.</t>
  </si>
  <si>
    <t xml:space="preserve">Rows for the whole day (00:00:00–23:59:59) are included (datetime range fixed).</t>
  </si>
  <si>
    <t xml:space="preserve">S3-07</t>
  </si>
  <si>
    <t xml:space="preserve">Evidence</t>
  </si>
  <si>
    <t xml:space="preserve">Evidence message distinguishes 3 cases</t>
  </si>
  <si>
    <t xml:space="preserve">Violations with: capture failed (null storage), purged, and none.</t>
  </si>
  <si>
    <t xml:space="preserve">Open evidence for each.</t>
  </si>
  <si>
    <t xml:space="preserve">Shows CAPTURE_FAILED (points to Troubleshooting) / EXPIRED / NO_EVIDENCE appropriately.</t>
  </si>
  <si>
    <t xml:space="preserve">S3-08</t>
  </si>
  <si>
    <t xml:space="preserve">Webcam</t>
  </si>
  <si>
    <t xml:space="preserve">Webcam viewer tab + protected file access</t>
  </si>
  <si>
    <t xml:space="preserve">Webcam photos captured; user has webcam.view permission.</t>
  </si>
  <si>
    <t xml:space="preserve">Open the Webcam tab; view a company/day; open a photo.</t>
  </si>
  <si>
    <t xml:space="preserve">Photos list and open via the protected WebcamController; access is logged; unauthorized users are blocked.</t>
  </si>
  <si>
    <t xml:space="preserve">S3-09</t>
  </si>
  <si>
    <t xml:space="preserve">UI / Zoom</t>
  </si>
  <si>
    <t xml:space="preserve">Zoom lightbox on evidence &amp; webcam images</t>
  </si>
  <si>
    <t xml:space="preserve">Evidence and webcam images visible.</t>
  </si>
  <si>
    <t xml:space="preserve">Click an evidence image and a webcam image.</t>
  </si>
  <si>
    <t xml:space="preserve">Each opens in a zoom lightbox (screenshots keep their existing modal, not double-bound).</t>
  </si>
  <si>
    <t xml:space="preserve">S3-10</t>
  </si>
  <si>
    <t xml:space="preserve">Meetings / UI</t>
  </si>
  <si>
    <t xml:space="preserve">Meeting columns + status tags + Join popup</t>
  </si>
  <si>
    <t xml:space="preserve">Meetings exist; a meeting becomes joinable.</t>
  </si>
  <si>
    <t xml:space="preserve">Open the meetings list; observe Organizer + Actual End columns and status tags; wait for a joinable meeting.</t>
  </si>
  <si>
    <t xml:space="preserve">Organizer/Actual End columns show; NO_SHOW/AUTO_CLOSED tags render; a Join popup appears via the 45s poller.</t>
  </si>
  <si>
    <t xml:space="preserve">S3-11</t>
  </si>
  <si>
    <t xml:space="preserve">Meetings / Report</t>
  </si>
  <si>
    <t xml:space="preserve">Organizer is not marked ABSENT</t>
  </si>
  <si>
    <t xml:space="preserve">A meeting with an organizer who did not 'join'.</t>
  </si>
  <si>
    <t xml:space="preserve">Open the meeting participation report.</t>
  </si>
  <si>
    <t xml:space="preserve">The organizer shows as ORGANIZER, not ABSENT.</t>
  </si>
  <si>
    <t xml:space="preserve">S4-01</t>
  </si>
  <si>
    <t xml:space="preserve">Employee Archive (24-Jul)</t>
  </si>
  <si>
    <t xml:space="preserve">Archive / Delete</t>
  </si>
  <si>
    <t xml:space="preserve">Deleting an employee snapshots + frees code + soft-deletes</t>
  </si>
  <si>
    <t xml:space="preserve">An employee with data; admin SUPER/COMPANY/BRANCH/HR.</t>
  </si>
  <si>
    <t xml:space="preserve">Employee tab -&gt; delete an employee; confirm the archiving dialog.</t>
  </si>
  <si>
    <t xml:space="preserve">An EmployeeArchive row (PENDING) is created with a Code_Name_Date label; the employee code is freed for reuse; the employee is soft-deleted; audit records the archive id/label.</t>
  </si>
  <si>
    <t xml:space="preserve">S4-02</t>
  </si>
  <si>
    <t xml:space="preserve">Archive / Panel</t>
  </si>
  <si>
    <t xml:space="preserve">Archive panel lists the archive</t>
  </si>
  <si>
    <t xml:space="preserve">An archive created.</t>
  </si>
  <si>
    <t xml:space="preserve">Open the Employee Archive card in the Employee tab.</t>
  </si>
  <si>
    <t xml:space="preserve">The archive lists with label, employee, archived on/by, record counts and a backup status.</t>
  </si>
  <si>
    <t xml:space="preserve">S4-03</t>
  </si>
  <si>
    <t xml:space="preserve">Archive / ZIP build</t>
  </si>
  <si>
    <t xml:space="preserve">Background ZIP builds to READY</t>
  </si>
  <si>
    <t xml:space="preserve">schedule:run every minute; PHP zip extension on.</t>
  </si>
  <si>
    <t xml:space="preserve">Wait for the smartept:build-archives command (or run it manually).</t>
  </si>
  <si>
    <t xml:space="preserve">The archive file_status becomes READY; the ZIP is written under storage/app/archives.</t>
  </si>
  <si>
    <t xml:space="preserve">S4-04</t>
  </si>
  <si>
    <t xml:space="preserve">Archive / Download</t>
  </si>
  <si>
    <t xml:space="preserve">ZIP download works and contains data + media</t>
  </si>
  <si>
    <t xml:space="preserve">A READY archive.</t>
  </si>
  <si>
    <t xml:space="preserve">Download the ZIP and open it.</t>
  </si>
  <si>
    <t xml:space="preserve">Contains employee.json, data/&lt;table&gt;.ndjson per table, and screenshots/ + webcam/ actual image files.</t>
  </si>
  <si>
    <t xml:space="preserve">S4-05</t>
  </si>
  <si>
    <t xml:space="preserve">Archive / Reuse</t>
  </si>
  <si>
    <t xml:space="preserve">Reused code's new employee keeps separate data</t>
  </si>
  <si>
    <t xml:space="preserve">A code freed by archiving.</t>
  </si>
  <si>
    <t xml:space="preserve">Create a new employee reusing that code; add activity.</t>
  </si>
  <si>
    <t xml:space="preserve">The new employee gets a new employee_id; old archived data never mixes with the new one's.</t>
  </si>
  <si>
    <t xml:space="preserve">S4-06</t>
  </si>
  <si>
    <t xml:space="preserve">Archive / Errors</t>
  </si>
  <si>
    <t xml:space="preserve">Missing zip extension surfaces FAILED clearly</t>
  </si>
  <si>
    <t xml:space="preserve">PHP zip extension OFF (negative test).</t>
  </si>
  <si>
    <t xml:space="preserve">Trigger an archive build.</t>
  </si>
  <si>
    <t xml:space="preserve">The archive row shows FAILED with a clear message (delete itself never 500s).</t>
  </si>
  <si>
    <t xml:space="preserve">S5-01</t>
  </si>
  <si>
    <t xml:space="preserve">Bug round 24-Jul</t>
  </si>
  <si>
    <t xml:space="preserve">Time calc</t>
  </si>
  <si>
    <t xml:space="preserve">Active/Idle no longer double-counted</t>
  </si>
  <si>
    <t xml:space="preserve">Agent v0.10.0+ installed; product a8bf76f+.</t>
  </si>
  <si>
    <t xml:space="preserve">Run a tracked session with activity and idle stretches; compare totals to wall-clock.</t>
  </si>
  <si>
    <t xml:space="preserve">Active/Idle totals match reality (idempotent insert + drain mutex removed the ~2x doubling).</t>
  </si>
  <si>
    <t xml:space="preserve">S5-02</t>
  </si>
  <si>
    <t xml:space="preserve">Agent</t>
  </si>
  <si>
    <t xml:space="preserve">Sync</t>
  </si>
  <si>
    <t xml:space="preserve">Concurrent drain is serialized (mutex)</t>
  </si>
  <si>
    <t xml:space="preserve">Agent rebuilt; node --test available.</t>
  </si>
  <si>
    <t xml:space="preserve">Run agent sync.test.js / force overlapping drains.</t>
  </si>
  <si>
    <t xml:space="preserve">drain() is mutually exclusive; the same events are never POSTed twice.</t>
  </si>
  <si>
    <t xml:space="preserve">S5-03</t>
  </si>
  <si>
    <t xml:space="preserve">Breaks</t>
  </si>
  <si>
    <t xml:space="preserve">Break started during ACTIVE is handled</t>
  </si>
  <si>
    <t xml:space="preserve">Employee active.</t>
  </si>
  <si>
    <t xml:space="preserve">Start a break while active.</t>
  </si>
  <si>
    <t xml:space="preserve">The active segment closes and the break is recorded correctly (no overlap).</t>
  </si>
  <si>
    <t xml:space="preserve">S5-04</t>
  </si>
  <si>
    <t xml:space="preserve">16h stale break auto-closes</t>
  </si>
  <si>
    <t xml:space="preserve">schedule:run running.</t>
  </si>
  <si>
    <t xml:space="preserve">Leave a break open &gt;16h (or simulate).</t>
  </si>
  <si>
    <t xml:space="preserve">The stale break is auto-closed by the closer.</t>
  </si>
  <si>
    <t xml:space="preserve">S5-05</t>
  </si>
  <si>
    <t xml:space="preserve">Stuck 'In-Meeting' clears</t>
  </si>
  <si>
    <t xml:space="preserve">A meeting timeline segment left open.</t>
  </si>
  <si>
    <t xml:space="preserve">Run CloseMeetings.</t>
  </si>
  <si>
    <t xml:space="preserve">The MEETING timeline segment closes; the employee is no longer stuck In-Meeting.</t>
  </si>
  <si>
    <t xml:space="preserve">S5-06</t>
  </si>
  <si>
    <t xml:space="preserve">UI / Breaks</t>
  </si>
  <si>
    <t xml:space="preserve">Break boxes merged into one 'On break'</t>
  </si>
  <si>
    <t xml:space="preserve">Console dashboard.</t>
  </si>
  <si>
    <t xml:space="preserve">View a break in progress.</t>
  </si>
  <si>
    <t xml:space="preserve">Tea/Lunch/Other show as a single 'On break' box.</t>
  </si>
  <si>
    <t xml:space="preserve">S5-07</t>
  </si>
  <si>
    <t xml:space="preserve">Meeting reminder popup fires</t>
  </si>
  <si>
    <t xml:space="preserve">A meeting with reminder_minutes set; agent rebuilt.</t>
  </si>
  <si>
    <t xml:space="preserve">Wait for the reminder window.</t>
  </si>
  <si>
    <t xml:space="preserve">The agent shows a native notification + surfaces the window with a reminder banner/Join.</t>
  </si>
  <si>
    <t xml:space="preserve">S5-08</t>
  </si>
  <si>
    <t xml:space="preserve">Security / Uninstall</t>
  </si>
  <si>
    <t xml:space="preserve">Tray uninstall is password-gated</t>
  </si>
  <si>
    <t xml:space="preserve">Exit-lock enabled with a password; agent rebuilt.</t>
  </si>
  <si>
    <t xml:space="preserve">Tray -&gt; 'Uninstall SmartEPT Agent…'.</t>
  </si>
  <si>
    <t xml:space="preserve">It requires the exit password (rate-limited, tamper-logged) before running the uninstaller.</t>
  </si>
  <si>
    <t xml:space="preserve">S5-09</t>
  </si>
  <si>
    <t xml:space="preserve">Diagnostics</t>
  </si>
  <si>
    <t xml:space="preserve">Biometric all-MANUAL is flagged</t>
  </si>
  <si>
    <t xml:space="preserve">All biometric devices set to MANUAL.</t>
  </si>
  <si>
    <t xml:space="preserve">Open Help -&gt; Troubleshooting.</t>
  </si>
  <si>
    <t xml:space="preserve">A check flags the all-MANUAL case (the 'have to sync manually' complaint) plus scheduler heartbeat.</t>
  </si>
  <si>
    <t xml:space="preserve">S5-10</t>
  </si>
  <si>
    <t xml:space="preserve">Screenshot null-storage is flagged</t>
  </si>
  <si>
    <t xml:space="preserve">Recent shots with null storage_file_id.</t>
  </si>
  <si>
    <t xml:space="preserve">Open Troubleshooting.</t>
  </si>
  <si>
    <t xml:space="preserve">A check counts captured-but-not-stored shots and points to a storage/upload problem.</t>
  </si>
  <si>
    <t xml:space="preserve">S6-01</t>
  </si>
  <si>
    <t xml:space="preserve">Central QA Round-2 (23-Jul)</t>
  </si>
  <si>
    <t xml:space="preserve">Licensing</t>
  </si>
  <si>
    <t xml:space="preserve">Quarterly / Half-yearly licence accepted</t>
  </si>
  <si>
    <t xml:space="preserve">Migration 000700 run (billing widened).</t>
  </si>
  <si>
    <t xml:space="preserve">Issue a licence with Quarterly, then Half-yearly billing.</t>
  </si>
  <si>
    <t xml:space="preserve">Both save without a 'Data truncated' error.</t>
  </si>
  <si>
    <t xml:space="preserve">S6-02</t>
  </si>
  <si>
    <t xml:space="preserve">Support</t>
  </si>
  <si>
    <t xml:space="preserve">Ticket timeline is append-only, authored, IST</t>
  </si>
  <si>
    <t xml:space="preserve">Migration 000800 run.</t>
  </si>
  <si>
    <t xml:space="preserve">Open a ticket; add replies; change status.</t>
  </si>
  <si>
    <t xml:space="preserve">Each reply is appended (never overwrites a prior); author + status changes are shown; times render in IST.</t>
  </si>
  <si>
    <t xml:space="preserve">S6-03</t>
  </si>
  <si>
    <t xml:space="preserve">Downloads</t>
  </si>
  <si>
    <t xml:space="preserve">Installer upload up to 256M</t>
  </si>
  <si>
    <t xml:space="preserve">php.ini upload/post raised to 256M and PHP restarted.</t>
  </si>
  <si>
    <t xml:space="preserve">Upload an installer file larger than 2MB (up to ~256M).</t>
  </si>
  <si>
    <t xml:space="preserve">Upload succeeds; the Downloads screen reflects the 256M limit.</t>
  </si>
  <si>
    <t xml:space="preserve">S6-04</t>
  </si>
  <si>
    <t xml:space="preserve">Orders</t>
  </si>
  <si>
    <t xml:space="preserve">Orders table shows the Licence</t>
  </si>
  <si>
    <t xml:space="preserve">An order tied to a licence.</t>
  </si>
  <si>
    <t xml:space="preserve">Open the Orders table.</t>
  </si>
  <si>
    <t xml:space="preserve">A Licence column shows the key/status/kind.</t>
  </si>
  <si>
    <t xml:space="preserve">S6-05</t>
  </si>
  <si>
    <t xml:space="preserve">Billing</t>
  </si>
  <si>
    <t xml:space="preserve">Trial→Paid partial payment works</t>
  </si>
  <si>
    <t xml:space="preserve">A trial tenant; migration 000700 run.</t>
  </si>
  <si>
    <t xml:space="preserve">Convert to paid with a Quarterly/HY order and take a partial payment.</t>
  </si>
  <si>
    <t xml:space="preserve">Provisioning issues the licence on the first partial payment without the enum error.</t>
  </si>
  <si>
    <t xml:space="preserve">S7-01</t>
  </si>
  <si>
    <t xml:space="preserve">QA Defect Phase (23-Jul)</t>
  </si>
  <si>
    <t xml:space="preserve">State machine</t>
  </si>
  <si>
    <t xml:space="preserve">Break/Meeting while not ACTIVE returns 409</t>
  </si>
  <si>
    <t xml:space="preserve">Server 3d8b330+.</t>
  </si>
  <si>
    <t xml:space="preserve">Attempt to start a break/meeting from a non-active state.</t>
  </si>
  <si>
    <t xml:space="preserve">The API returns 409 (status_timeline + StatusService enforce valid transitions).</t>
  </si>
  <si>
    <t xml:space="preserve">S7-02</t>
  </si>
  <si>
    <t xml:space="preserve">Gate / Tamper</t>
  </si>
  <si>
    <t xml:space="preserve">Gate status + tamper events recorded</t>
  </si>
  <si>
    <t xml:space="preserve">Agent v0.11.0.</t>
  </si>
  <si>
    <t xml:space="preserve">Trigger gate open/deny and a tamper attempt.</t>
  </si>
  <si>
    <t xml:space="preserve">gate-status carries shape+reason; agent_tamper_events are logged; exit-lock sha256 enforced.</t>
  </si>
  <si>
    <t xml:space="preserve">S7-03</t>
  </si>
  <si>
    <t xml:space="preserve">Attendance</t>
  </si>
  <si>
    <t xml:space="preserve">Checkout uses the trailing OUT</t>
  </si>
  <si>
    <t xml:space="preserve">An employee with multiple in/out punches.</t>
  </si>
  <si>
    <t xml:space="preserve">Derive the day's attendance.</t>
  </si>
  <si>
    <t xml:space="preserve">Check-out = the last OUT of the day (AttendanceDerivation single source of truth).</t>
  </si>
  <si>
    <t xml:space="preserve">S7-04</t>
  </si>
  <si>
    <t xml:space="preserve">Late computed per source, skips MANUAL</t>
  </si>
  <si>
    <t xml:space="preserve">Late arrival source configured; a manual regularization exists.</t>
  </si>
  <si>
    <t xml:space="preserve">Derive late for a biometric day and a manual day.</t>
  </si>
  <si>
    <t xml:space="preserve">Late is computed by the configured source; manual entries are skipped.</t>
  </si>
  <si>
    <t xml:space="preserve">S7-05</t>
  </si>
  <si>
    <t xml:space="preserve">Biometric scheduler tile + failure cap</t>
  </si>
  <si>
    <t xml:space="preserve">schedule:run status varies.</t>
  </si>
  <si>
    <t xml:space="preserve">Open Troubleshooting; force repeated sync failures.</t>
  </si>
  <si>
    <t xml:space="preserve">The scheduler/biometric tiles reflect state; failure count caps at 5.</t>
  </si>
  <si>
    <t xml:space="preserve">S7-06</t>
  </si>
  <si>
    <t xml:space="preserve">14 permissions + role matrix gate the UI</t>
  </si>
  <si>
    <t xml:space="preserve">Migration 000400 run; RolePermissionSeeder applied.</t>
  </si>
  <si>
    <t xml:space="preserve">Log in as roles with/without meeting.* etc.; check console gating.</t>
  </si>
  <si>
    <t xml:space="preserve">Screens/actions appear only when the role holds the permission; meeting routes honour permissions.</t>
  </si>
  <si>
    <t xml:space="preserve">S7-07</t>
  </si>
  <si>
    <t xml:space="preserve">Evidence correlates shot↔event by uuid</t>
  </si>
  <si>
    <t xml:space="preserve">Migration 000500 run; a blocked-app violation with a screenshot.</t>
  </si>
  <si>
    <t xml:space="preserve">Open the violation's evidence.</t>
  </si>
  <si>
    <t xml:space="preserve">The correct screenshot shows (matched by client_event_uuid, window fallback); EXPIRED when purged; cross-tenant blocked.</t>
  </si>
  <si>
    <t xml:space="preserve">S7-08</t>
  </si>
  <si>
    <t xml:space="preserve">Screenshots</t>
  </si>
  <si>
    <t xml:space="preserve">Screenshot interval ~1 per policy interval (no stacked timers)</t>
  </si>
  <si>
    <t xml:space="preserve">Agent rebuilt; screenshot policy 10 min.</t>
  </si>
  <si>
    <t xml:space="preserve">Change the policy live; observe capture rate over 20–30 min.</t>
  </si>
  <si>
    <t xml:space="preserve">About one shot per interval (start() stops the prior timer first); policy refresh is live.</t>
  </si>
  <si>
    <t xml:space="preserve">S7-09</t>
  </si>
  <si>
    <t xml:space="preserve">Manual attendance rejects a future check-out</t>
  </si>
  <si>
    <t xml:space="preserve">Server 61adabb+.</t>
  </si>
  <si>
    <t xml:space="preserve">Submit a manual attendance with check_out in the future, and with check_out before check_in.</t>
  </si>
  <si>
    <t xml:space="preserve">Both are rejected (travel-safe future check + order check).</t>
  </si>
  <si>
    <t xml:space="preserve">S7-10</t>
  </si>
  <si>
    <t xml:space="preserve">Audit</t>
  </si>
  <si>
    <t xml:space="preserve">Audit range = whole day + CSV export redacted</t>
  </si>
  <si>
    <t xml:space="preserve">Migration 000600 run.</t>
  </si>
  <si>
    <t xml:space="preserve">Filter the audit log by a date range; export CSV.</t>
  </si>
  <si>
    <t xml:space="preserve">A bare date covers the whole day; export streams all rows; secrets are redacted and CSV-injection neutralised.</t>
  </si>
  <si>
    <t xml:space="preserve">S7-11</t>
  </si>
  <si>
    <t xml:space="preserve">Clock</t>
  </si>
  <si>
    <t xml:space="preserve">Agent stamps are server-time authoritative / macOS-safe</t>
  </si>
  <si>
    <t xml:space="preserve">Agent v0.11.0 on Windows and macOS.</t>
  </si>
  <si>
    <t xml:space="preserve">Run tracking on both; compare stamps.</t>
  </si>
  <si>
    <t xml:space="preserve">No locale strings in payloads; timings correct on macOS; server-time authoritative.</t>
  </si>
  <si>
    <t xml:space="preserve">S8-01</t>
  </si>
  <si>
    <t xml:space="preserve">Next-Phase programme (21-Jul)</t>
  </si>
  <si>
    <t xml:space="preserve">Idle</t>
  </si>
  <si>
    <t xml:space="preserve">Instant idle on lock / sleep / display-off</t>
  </si>
  <si>
    <t xml:space="preserve">Agent v0.8.0+.</t>
  </si>
  <si>
    <t xml:space="preserve">Lock the PC, sleep it, turn off the display.</t>
  </si>
  <si>
    <t xml:space="preserve">Status flips to IDLE instantly and holds while locked; unlock does not snap to ACTIVE; screenshots pause while locked.</t>
  </si>
  <si>
    <t xml:space="preserve">S8-02</t>
  </si>
  <si>
    <t xml:space="preserve">Login popup</t>
  </si>
  <si>
    <t xml:space="preserve">Watchdog relaunch does not pop the window</t>
  </si>
  <si>
    <t xml:space="preserve">Agent installed with watchdog.</t>
  </si>
  <si>
    <t xml:space="preserve">Let the watchdog relaunch the agent; also do a normal login.</t>
  </si>
  <si>
    <t xml:space="preserve">Silent/watchdog launches stay tray-only; only a real user action shows the window.</t>
  </si>
  <si>
    <t xml:space="preserve">S8-03</t>
  </si>
  <si>
    <t xml:space="preserve">Remember-me</t>
  </si>
  <si>
    <t xml:space="preserve">Remember-me prefills email only</t>
  </si>
  <si>
    <t xml:space="preserve">Agent login screen.</t>
  </si>
  <si>
    <t xml:space="preserve">Log in with Remember me on; restart; then off.</t>
  </si>
  <si>
    <t xml:space="preserve">Email is prefilled (email only stored); tokens stay DPAPI-encrypted; turning it off forgets the email.</t>
  </si>
  <si>
    <t xml:space="preserve">S8-04</t>
  </si>
  <si>
    <t xml:space="preserve">Break categories + limits + excess reason</t>
  </si>
  <si>
    <t xml:space="preserve">Migration _000200 run; org break limits set.</t>
  </si>
  <si>
    <t xml:space="preserve">Take Lunch/Tea/Other breaks beyond the limit.</t>
  </si>
  <si>
    <t xml:space="preserve">Categories recorded; exceeding the limit requires a mandatory excess-break reason; permitted/excess seconds stored.</t>
  </si>
  <si>
    <t xml:space="preserve">S8-05</t>
  </si>
  <si>
    <t xml:space="preserve">Meetings schedule/participants/auto-close; meeting = productive</t>
  </si>
  <si>
    <t xml:space="preserve">Migration _000300 run.</t>
  </si>
  <si>
    <t xml:space="preserve">Schedule a meeting with participants; run it; check productivity.</t>
  </si>
  <si>
    <t xml:space="preserve">Participant/time-window validated; auto-close works; meeting time counts as productive, not a break.</t>
  </si>
  <si>
    <t xml:space="preserve">S8-06</t>
  </si>
  <si>
    <t xml:space="preserve">Policy / Devices</t>
  </si>
  <si>
    <t xml:space="preserve">Single-device login enforced + force-logout</t>
  </si>
  <si>
    <t xml:space="preserve">Migration _000400 run.</t>
  </si>
  <si>
    <t xml:space="preserve">Log the same employee in on a second PC.</t>
  </si>
  <si>
    <t xml:space="preserve">The second login is denied (or takes over per policy); force-logout works; the agent handles 401→login.</t>
  </si>
  <si>
    <t xml:space="preserve">S8-07</t>
  </si>
  <si>
    <t xml:space="preserve">Biometric</t>
  </si>
  <si>
    <t xml:space="preserve">Sync modes (interval/scheduled/manual) + mapping CRUD</t>
  </si>
  <si>
    <t xml:space="preserve">Migration _000100 run.</t>
  </si>
  <si>
    <t xml:space="preserve">Set a device to INTERVAL, then SCHEDULED, then MANUAL; map/unmap a biometric id.</t>
  </si>
  <si>
    <t xml:space="preserve">Each mode syncs per its rule (with scheduler); mapping create/update/delete works and guards one-employee-one-active-biometric.</t>
  </si>
  <si>
    <t xml:space="preserve">S8-08</t>
  </si>
  <si>
    <t xml:space="preserve">Reports</t>
  </si>
  <si>
    <t xml:space="preserve">Break report + meeting report</t>
  </si>
  <si>
    <t xml:space="preserve">Server d452fe0+.</t>
  </si>
  <si>
    <t xml:space="preserve">Open the Break and Meeting reports; filter; export CSV; review a break.</t>
  </si>
  <si>
    <t xml:space="preserve">Break report lists permitted/actual/excess + review; meeting report shows attendance/actual seconds; Meeting is excluded from breaks.</t>
  </si>
  <si>
    <t xml:space="preserve">S8-09</t>
  </si>
  <si>
    <t xml:space="preserve">Idle attribution</t>
  </si>
  <si>
    <t xml:space="preserve">Lock-idle vs inactivity (known residual)</t>
  </si>
  <si>
    <t xml:space="preserve">Agent sends 'locked' to UI.</t>
  </si>
  <si>
    <t xml:space="preserve">Compare idle in reports.</t>
  </si>
  <si>
    <t xml:space="preserve">Reports do not yet split lock-idle vs inactivity-idle (documented follow-up, not a defect).</t>
  </si>
  <si>
    <t xml:space="preserve">S9-01</t>
  </si>
  <si>
    <t xml:space="preserve">Landing Revamp (22-Jul)</t>
  </si>
  <si>
    <t xml:space="preserve">Theme</t>
  </si>
  <si>
    <t xml:space="preserve">Landing renders the paper theme</t>
  </si>
  <si>
    <t xml:space="preserve">landing.html deployed; hard refresh.</t>
  </si>
  <si>
    <t xml:space="preserve">Open / and scan the page.</t>
  </si>
  <si>
    <t xml:space="preserve">Warm paper theme (#FBFAF6) with teal accents; header teal line removed; nav has a shadow.</t>
  </si>
  <si>
    <t xml:space="preserve">S9-02</t>
  </si>
  <si>
    <t xml:space="preserve">Pricing</t>
  </si>
  <si>
    <t xml:space="preserve">Pricing is data-driven from the API</t>
  </si>
  <si>
    <t xml:space="preserve">Admin Plans set.</t>
  </si>
  <si>
    <t xml:space="preserve">Change a price in /admin -&gt; Plans; wait ~5 min; reload landing.</t>
  </si>
  <si>
    <t xml:space="preserve">The landing pricing follows the admin value (never hardcoded).</t>
  </si>
  <si>
    <t xml:space="preserve">S9-03</t>
  </si>
  <si>
    <t xml:space="preserve">Features</t>
  </si>
  <si>
    <t xml:space="preserve">Feature grid is 3x3 with the new modules</t>
  </si>
  <si>
    <t xml:space="preserve">Landing deployed.</t>
  </si>
  <si>
    <t xml:space="preserve">View the feature grid.</t>
  </si>
  <si>
    <t xml:space="preserve">Nine cards including Smart Breaks, Meetings and Live Monitoring.</t>
  </si>
  <si>
    <t xml:space="preserve">S9-04</t>
  </si>
  <si>
    <t xml:space="preserve">USP</t>
  </si>
  <si>
    <t xml:space="preserve">USP 'Three reasons' premium section renders</t>
  </si>
  <si>
    <t xml:space="preserve">View the USP section.</t>
  </si>
  <si>
    <t xml:space="preserve">Gradient teal icon tiles with the shield/rupee/gate icons and the 'Industry First' badge.</t>
  </si>
  <si>
    <t xml:space="preserve">S10-01</t>
  </si>
  <si>
    <t xml:space="preserve">1.0 Launch marathon (20-Jul)</t>
  </si>
  <si>
    <t xml:space="preserve">Downloads catalogue publishes per-OS installers</t>
  </si>
  <si>
    <t xml:space="preserve">Super role; migrate run.</t>
  </si>
  <si>
    <t xml:space="preserve">Downloads -&gt; upload/pick + publish agent (Win/Mac/Linux) and server rows.</t>
  </si>
  <si>
    <t xml:space="preserve">Published rows appear in the portal Downloads for the right OS.</t>
  </si>
  <si>
    <t xml:space="preserve">S10-02</t>
  </si>
  <si>
    <t xml:space="preserve">Download quotas + history enforced</t>
  </si>
  <si>
    <t xml:space="preserve">Quotas configured (trial/paid).</t>
  </si>
  <si>
    <t xml:space="preserve">As a client, download repeatedly beyond the daily/monthly limit.</t>
  </si>
  <si>
    <t xml:space="preserve">Downloads are limited and logged; the portal shows remaining/month; 'Downloads by client' + recent log show in console.</t>
  </si>
  <si>
    <t xml:space="preserve">S10-03</t>
  </si>
  <si>
    <t xml:space="preserve">Accountant CSV reports export</t>
  </si>
  <si>
    <t xml:space="preserve">Super/sales; some paid orders.</t>
  </si>
  <si>
    <t xml:space="preserve">Reports -&gt; GST register, Collections, Outstanding.</t>
  </si>
  <si>
    <t xml:space="preserve">Each CSV downloads with correct figures.</t>
  </si>
  <si>
    <t xml:space="preserve">S10-04</t>
  </si>
  <si>
    <t xml:space="preserve">Support tickets portal + desk end to end</t>
  </si>
  <si>
    <t xml:space="preserve">A client and a support agent.</t>
  </si>
  <si>
    <t xml:space="preserve">Client raises a ticket; support replies + changes status.</t>
  </si>
  <si>
    <t xml:space="preserve">The client sees the reply (emailed); status flows; sales notified on new.</t>
  </si>
  <si>
    <t xml:space="preserve">S10-05</t>
  </si>
  <si>
    <t xml:space="preserve">Users &amp; Roles</t>
  </si>
  <si>
    <t xml:space="preserve">Central staff Users &amp; Roles with guardrails</t>
  </si>
  <si>
    <t xml:space="preserve">Add/edit super/sales/support staff; reset a password; try to remove the last super / self-lock.</t>
  </si>
  <si>
    <t xml:space="preserve">Staff management works; guardrails keep &gt;=1 active super and block self-lockout; a read-only matrix shows.</t>
  </si>
  <si>
    <t xml:space="preserve">S10-06</t>
  </si>
  <si>
    <t xml:space="preserve">Troubleshooting</t>
  </si>
  <si>
    <t xml:space="preserve">Help -&gt; Troubleshooting live in both apps</t>
  </si>
  <si>
    <t xml:space="preserve">Both apps updated.</t>
  </si>
  <si>
    <t xml:space="preserve">Open Help -&gt; Troubleshooting in product and Central.</t>
  </si>
  <si>
    <t xml:space="preserve">System Health self-check + Known-Issues KB + log viewer render; scheduler/link/licence checks report state.</t>
  </si>
  <si>
    <t xml:space="preserve">S10-07</t>
  </si>
  <si>
    <t xml:space="preserve">Reports / TZ</t>
  </si>
  <si>
    <t xml:space="preserve">Reports filter by local (IST) date</t>
  </si>
  <si>
    <t xml:space="preserve">Company tz Asia/Kolkata; agent data around midnight.</t>
  </si>
  <si>
    <t xml:space="preserve">Open Dashboard/Usage/Productivity for 'today'.</t>
  </si>
  <si>
    <t xml:space="preserve">Rows are bounded by local date (whereDate), not a UTC window; late-night data lands on the right day.</t>
  </si>
  <si>
    <t xml:space="preserve">S10-08</t>
  </si>
  <si>
    <t xml:space="preserve">Violation 'View evidence' matches the trigger</t>
  </si>
  <si>
    <t xml:space="preserve">A BLOCKED_APP/BLOCKED_SITE violation with on-blocked screenshot policy ON.</t>
  </si>
  <si>
    <t xml:space="preserve">Open 'View evidence' for the violation.</t>
  </si>
  <si>
    <t xml:space="preserve">The shown screenshot matches the offending app/site by trigger reason, not nearest-time.</t>
  </si>
  <si>
    <t xml:space="preserve">Re-Test Summary</t>
  </si>
  <si>
    <t xml:space="preserve">Counts recalculate automatically from the Test Cases tab as testers fill in Results.</t>
  </si>
  <si>
    <t xml:space="preserve">Total</t>
  </si>
  <si>
    <t xml:space="preserve">Fail</t>
  </si>
  <si>
    <t xml:space="preserve">Blocked</t>
  </si>
  <si>
    <t xml:space="preserve">Pass %</t>
  </si>
  <si>
    <t xml:space="preserve">S1 · Pricing v2 Finalise (27-Jul)</t>
  </si>
  <si>
    <t xml:space="preserve">S2 · Pricing v2 (26-Jul)</t>
  </si>
  <si>
    <t xml:space="preserve">S3 · Bug round 25-Jul</t>
  </si>
  <si>
    <t xml:space="preserve">S4 · Employee Archive (24-Jul)</t>
  </si>
  <si>
    <t xml:space="preserve">S5 · Bug round 24-Jul</t>
  </si>
  <si>
    <t xml:space="preserve">S6 · Central QA Round-2 (23-Jul)</t>
  </si>
  <si>
    <t xml:space="preserve">S7 · QA Defect Phase (23-Jul)</t>
  </si>
  <si>
    <t xml:space="preserve">S8 · Next-Phase programme (21-Jul)</t>
  </si>
  <si>
    <t xml:space="preserve">S9 · Landing Revamp (22-Jul)</t>
  </si>
  <si>
    <t xml:space="preserve">S10 · 1.0 Launch marathon (20-Jul)</t>
  </si>
  <si>
    <t xml:space="preserve">TOTAL</t>
  </si>
  <si>
    <t xml:space="preserve">P1 critical cases</t>
  </si>
  <si>
    <t xml:space="preserve">P1 passed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</si>
</sst>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A5C6A"/>
      <name val="Arial"/>
      <family val="0"/>
      <charset val="1"/>
    </font>
    <font>
      <sz val="11"/>
      <color rgb="FF5B6A70"/>
      <name val="Arial"/>
      <family val="0"/>
      <charset val="1"/>
    </font>
    <font>
      <sz val="10"/>
      <color rgb="FF5B6A70"/>
      <name val="Arial"/>
      <family val="0"/>
      <charset val="1"/>
    </font>
    <font>
      <b val="true"/>
      <sz val="11"/>
      <color rgb="FF0A5C6A"/>
      <name val="Arial"/>
      <family val="0"/>
      <charset val="1"/>
    </font>
    <font>
      <sz val="10"/>
      <color rgb="FF1F2A2E"/>
      <name val="Arial"/>
      <family val="0"/>
      <charset val="1"/>
    </font>
    <font>
      <sz val="11"/>
      <color rgb="FF1F2A2E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1F2A2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A5C6A"/>
      <name val="Arial"/>
      <family val="0"/>
      <charset val="1"/>
    </font>
    <font>
      <sz val="9"/>
      <color rgb="FF1F2A2E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5B6A70"/>
      <name val="Arial"/>
      <family val="0"/>
      <charset val="1"/>
    </font>
    <font>
      <b val="true"/>
      <sz val="9"/>
      <color rgb="FFB9770E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18"/>
      <color rgb="FF0A5C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A5C6A"/>
      <name val="Arial"/>
      <family val="0"/>
      <charset val="1"/>
    </font>
    <font>
      <b val="true"/>
      <sz val="10"/>
      <color rgb="FFC0392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E7C8F"/>
        <bgColor rgb="FF0066CC"/>
      </patternFill>
    </fill>
    <fill>
      <patternFill patternType="solid">
        <fgColor rgb="FF0A5C6A"/>
        <bgColor rgb="FF0E7C8F"/>
      </patternFill>
    </fill>
    <fill>
      <patternFill patternType="solid">
        <fgColor rgb="FFFFFFFF"/>
        <bgColor rgb="FFF4F9FA"/>
      </patternFill>
    </fill>
    <fill>
      <patternFill patternType="solid">
        <fgColor rgb="FFFBEAE8"/>
        <bgColor rgb="FFFBE3E1"/>
      </patternFill>
    </fill>
    <fill>
      <patternFill patternType="solid">
        <fgColor rgb="FFF4F9FA"/>
        <bgColor rgb="FFEEF6EF"/>
      </patternFill>
    </fill>
    <fill>
      <patternFill patternType="solid">
        <fgColor rgb="FFFCF3E3"/>
        <bgColor rgb="FFFBEAE8"/>
      </patternFill>
    </fill>
    <fill>
      <patternFill patternType="solid">
        <fgColor rgb="FFEEF6EF"/>
        <bgColor rgb="FFE6F5EC"/>
      </patternFill>
    </fill>
    <fill>
      <patternFill patternType="solid">
        <fgColor rgb="FFE6F2F4"/>
        <bgColor rgb="FFE6F5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6E8"/>
      </left>
      <right style="thin">
        <color rgb="FFDDE6E8"/>
      </right>
      <top style="thin">
        <color rgb="FFDDE6E8"/>
      </top>
      <bottom style="thin">
        <color rgb="FFDDE6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E7C8F"/>
          <bgColor rgb="FF000000"/>
        </patternFill>
      </fill>
    </dxf>
    <dxf>
      <fill>
        <patternFill patternType="solid">
          <fgColor rgb="FFF4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A5C6A"/>
          <bgColor rgb="FF000000"/>
        </patternFill>
      </fill>
    </dxf>
    <dxf>
      <fill>
        <patternFill patternType="solid">
          <fgColor rgb="FF1F2A2E"/>
          <bgColor rgb="FF000000"/>
        </patternFill>
      </fill>
    </dxf>
    <dxf>
      <fill>
        <patternFill patternType="solid">
          <fgColor rgb="FFEEF6EF"/>
          <bgColor rgb="FF000000"/>
        </patternFill>
      </fill>
    </dxf>
    <dxf>
      <fill>
        <patternFill patternType="solid">
          <fgColor rgb="FFFBEAE8"/>
          <bgColor rgb="FF000000"/>
        </patternFill>
      </fill>
    </dxf>
    <dxf>
      <fill>
        <patternFill patternType="solid">
          <fgColor rgb="FFFCF3E3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B9770E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5B6A70"/>
          <bgColor rgb="FF000000"/>
        </patternFill>
      </fill>
    </dxf>
    <dxf>
      <font>
        <name val="Arial"/>
        <charset val="1"/>
        <family val="0"/>
        <b val="1"/>
        <color rgb="FF1E7A3D"/>
        <sz val="9"/>
      </font>
      <fill>
        <patternFill>
          <bgColor rgb="FFE6F5EC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BE3E1"/>
        </patternFill>
      </fill>
    </dxf>
    <dxf>
      <font>
        <name val="Arial"/>
        <charset val="1"/>
        <family val="0"/>
        <b val="1"/>
        <color rgb="FFB9770E"/>
        <sz val="9"/>
      </font>
      <fill>
        <patternFill>
          <bgColor rgb="FFFCF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D"/>
      <rgbColor rgb="FF000080"/>
      <rgbColor rgb="FFB9770E"/>
      <rgbColor rgb="FF800080"/>
      <rgbColor rgb="FF0E7C8F"/>
      <rgbColor rgb="FFF4F9FA"/>
      <rgbColor rgb="FF808080"/>
      <rgbColor rgb="FF9999FF"/>
      <rgbColor rgb="FF993366"/>
      <rgbColor rgb="FFFCF3E3"/>
      <rgbColor rgb="FFE6F5EC"/>
      <rgbColor rgb="FF660066"/>
      <rgbColor rgb="FFFF8080"/>
      <rgbColor rgb="FF0066CC"/>
      <rgbColor rgb="FFDDE6E8"/>
      <rgbColor rgb="FF000080"/>
      <rgbColor rgb="FFFF00FF"/>
      <rgbColor rgb="FFFFFF00"/>
      <rgbColor rgb="FF00FFFF"/>
      <rgbColor rgb="FF800080"/>
      <rgbColor rgb="FF800000"/>
      <rgbColor rgb="FF0A5C6A"/>
      <rgbColor rgb="FF0000FF"/>
      <rgbColor rgb="FF00CCFF"/>
      <rgbColor rgb="FFE6F2F4"/>
      <rgbColor rgb="FFEEF6EF"/>
      <rgbColor rgb="FFFBEAE8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5B6A70"/>
      <rgbColor rgb="FF969696"/>
      <rgbColor rgb="FF003366"/>
      <rgbColor rgb="FF2E7D32"/>
      <rgbColor rgb="FF003300"/>
      <rgbColor rgb="FF333300"/>
      <rgbColor rgb="FFC0392B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14" min="4" style="0" width="1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/>
    </row>
    <row r="7" customFormat="false" ht="23.85" hidden="false" customHeight="false" outlineLevel="0" collapsed="false">
      <c r="B7" s="6" t="s">
        <v>4</v>
      </c>
      <c r="C7" s="5" t="s">
        <v>5</v>
      </c>
    </row>
    <row r="8" customFormat="false" ht="23.85" hidden="false" customHeight="false" outlineLevel="0" collapsed="false">
      <c r="B8" s="6" t="s">
        <v>6</v>
      </c>
      <c r="C8" s="5" t="s">
        <v>7</v>
      </c>
    </row>
    <row r="9" customFormat="false" ht="15" hidden="false" customHeight="false" outlineLevel="0" collapsed="false">
      <c r="B9" s="6" t="s">
        <v>8</v>
      </c>
      <c r="C9" s="5" t="s">
        <v>9</v>
      </c>
    </row>
    <row r="10" customFormat="false" ht="15" hidden="false" customHeight="false" outlineLevel="0" collapsed="false">
      <c r="B10" s="6" t="s">
        <v>10</v>
      </c>
      <c r="C10" s="5" t="s">
        <v>11</v>
      </c>
    </row>
    <row r="11" customFormat="false" ht="46.25" hidden="false" customHeight="false" outlineLevel="0" collapsed="false">
      <c r="B11" s="6" t="s">
        <v>12</v>
      </c>
      <c r="C11" s="5" t="s">
        <v>13</v>
      </c>
    </row>
    <row r="12" customFormat="false" ht="23.85" hidden="false" customHeight="false" outlineLevel="0" collapsed="false">
      <c r="B12" s="6" t="s">
        <v>14</v>
      </c>
      <c r="C12" s="5" t="s">
        <v>15</v>
      </c>
    </row>
    <row r="14" customFormat="false" ht="15" hidden="false" customHeight="false" outlineLevel="0" collapsed="false">
      <c r="B14" s="4" t="s">
        <v>16</v>
      </c>
    </row>
    <row r="15" customFormat="false" ht="19.4" hidden="false" customHeight="false" outlineLevel="0" collapsed="false">
      <c r="B15" s="7" t="s">
        <v>17</v>
      </c>
      <c r="C15" s="7" t="s">
        <v>18</v>
      </c>
      <c r="D15" s="7" t="s">
        <v>19</v>
      </c>
      <c r="E15" s="7" t="s">
        <v>20</v>
      </c>
      <c r="F15" s="7" t="s">
        <v>21</v>
      </c>
      <c r="G15" s="7" t="s">
        <v>22</v>
      </c>
      <c r="H15" s="7" t="s">
        <v>23</v>
      </c>
      <c r="I15" s="7" t="s">
        <v>24</v>
      </c>
      <c r="J15" s="7" t="s">
        <v>25</v>
      </c>
      <c r="K15" s="7" t="s">
        <v>26</v>
      </c>
      <c r="L15" s="7" t="s">
        <v>27</v>
      </c>
      <c r="M15" s="7" t="s">
        <v>28</v>
      </c>
      <c r="N15" s="7" t="s">
        <v>29</v>
      </c>
    </row>
    <row r="16" customFormat="false" ht="37.3" hidden="false" customHeight="false" outlineLevel="0" collapsed="false">
      <c r="B16" s="8" t="s">
        <v>30</v>
      </c>
      <c r="C16" s="8" t="s">
        <v>31</v>
      </c>
      <c r="D16" s="8" t="s">
        <v>32</v>
      </c>
      <c r="E16" s="8" t="s">
        <v>33</v>
      </c>
      <c r="F16" s="8" t="s">
        <v>34</v>
      </c>
      <c r="G16" s="8" t="s">
        <v>35</v>
      </c>
      <c r="H16" s="8" t="s">
        <v>36</v>
      </c>
      <c r="I16" s="8" t="s">
        <v>36</v>
      </c>
      <c r="J16" s="8" t="s">
        <v>36</v>
      </c>
      <c r="K16" s="8" t="s">
        <v>37</v>
      </c>
      <c r="L16" s="8" t="s">
        <v>38</v>
      </c>
      <c r="M16" s="8" t="s">
        <v>39</v>
      </c>
      <c r="N16" s="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5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42"/>
    <col collapsed="false" customWidth="true" hidden="false" outlineLevel="0" max="9" min="9" style="0" width="4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26"/>
  </cols>
  <sheetData>
    <row r="1" customFormat="false" ht="25.5" hidden="false" customHeight="true" outlineLevel="0" collapsed="false">
      <c r="A1" s="9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30" hidden="false" customHeight="true" outlineLevel="0" collapsed="false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42</v>
      </c>
      <c r="F2" s="10" t="s">
        <v>22</v>
      </c>
      <c r="G2" s="10" t="s">
        <v>23</v>
      </c>
      <c r="H2" s="10" t="s">
        <v>24</v>
      </c>
      <c r="I2" s="10" t="s">
        <v>43</v>
      </c>
      <c r="J2" s="10" t="s">
        <v>26</v>
      </c>
      <c r="K2" s="10" t="s">
        <v>27</v>
      </c>
      <c r="L2" s="10" t="s">
        <v>28</v>
      </c>
      <c r="M2" s="10" t="s">
        <v>29</v>
      </c>
    </row>
    <row r="3" customFormat="false" ht="43.25" hidden="false" customHeight="false" outlineLevel="0" collapsed="false">
      <c r="A3" s="11" t="s">
        <v>30</v>
      </c>
      <c r="B3" s="12" t="s">
        <v>31</v>
      </c>
      <c r="C3" s="12" t="s">
        <v>32</v>
      </c>
      <c r="D3" s="12" t="s">
        <v>33</v>
      </c>
      <c r="E3" s="13" t="s">
        <v>34</v>
      </c>
      <c r="F3" s="12" t="s">
        <v>35</v>
      </c>
      <c r="G3" s="12" t="s">
        <v>44</v>
      </c>
      <c r="H3" s="12" t="s">
        <v>45</v>
      </c>
      <c r="I3" s="12" t="s">
        <v>46</v>
      </c>
      <c r="J3" s="14" t="s">
        <v>47</v>
      </c>
      <c r="K3" s="12"/>
      <c r="L3" s="12"/>
      <c r="M3" s="12"/>
    </row>
    <row r="4" customFormat="false" ht="32.8" hidden="false" customHeight="false" outlineLevel="0" collapsed="false">
      <c r="A4" s="15" t="s">
        <v>48</v>
      </c>
      <c r="B4" s="16" t="s">
        <v>31</v>
      </c>
      <c r="C4" s="16" t="s">
        <v>32</v>
      </c>
      <c r="D4" s="16" t="s">
        <v>33</v>
      </c>
      <c r="E4" s="17" t="s">
        <v>49</v>
      </c>
      <c r="F4" s="16" t="s">
        <v>50</v>
      </c>
      <c r="G4" s="16" t="s">
        <v>51</v>
      </c>
      <c r="H4" s="16" t="s">
        <v>52</v>
      </c>
      <c r="I4" s="16" t="s">
        <v>53</v>
      </c>
      <c r="J4" s="18" t="s">
        <v>47</v>
      </c>
      <c r="K4" s="16"/>
      <c r="L4" s="16"/>
      <c r="M4" s="16"/>
    </row>
    <row r="5" customFormat="false" ht="22.35" hidden="false" customHeight="false" outlineLevel="0" collapsed="false">
      <c r="A5" s="11" t="s">
        <v>54</v>
      </c>
      <c r="B5" s="12" t="s">
        <v>31</v>
      </c>
      <c r="C5" s="12" t="s">
        <v>32</v>
      </c>
      <c r="D5" s="12" t="s">
        <v>33</v>
      </c>
      <c r="E5" s="19" t="s">
        <v>55</v>
      </c>
      <c r="F5" s="12" t="s">
        <v>56</v>
      </c>
      <c r="G5" s="12" t="s">
        <v>57</v>
      </c>
      <c r="H5" s="12" t="s">
        <v>58</v>
      </c>
      <c r="I5" s="12" t="s">
        <v>59</v>
      </c>
      <c r="J5" s="14" t="s">
        <v>47</v>
      </c>
      <c r="K5" s="12"/>
      <c r="L5" s="12"/>
      <c r="M5" s="12"/>
    </row>
    <row r="6" customFormat="false" ht="22.35" hidden="false" customHeight="false" outlineLevel="0" collapsed="false">
      <c r="A6" s="15" t="s">
        <v>60</v>
      </c>
      <c r="B6" s="16" t="s">
        <v>31</v>
      </c>
      <c r="C6" s="16" t="s">
        <v>32</v>
      </c>
      <c r="D6" s="16" t="s">
        <v>61</v>
      </c>
      <c r="E6" s="17" t="s">
        <v>49</v>
      </c>
      <c r="F6" s="16" t="s">
        <v>62</v>
      </c>
      <c r="G6" s="16" t="s">
        <v>63</v>
      </c>
      <c r="H6" s="16" t="s">
        <v>64</v>
      </c>
      <c r="I6" s="16" t="s">
        <v>65</v>
      </c>
      <c r="J6" s="18" t="s">
        <v>47</v>
      </c>
      <c r="K6" s="16"/>
      <c r="L6" s="16"/>
      <c r="M6" s="16"/>
    </row>
    <row r="7" customFormat="false" ht="22.35" hidden="false" customHeight="false" outlineLevel="0" collapsed="false">
      <c r="A7" s="11" t="s">
        <v>66</v>
      </c>
      <c r="B7" s="12" t="s">
        <v>31</v>
      </c>
      <c r="C7" s="12" t="s">
        <v>32</v>
      </c>
      <c r="D7" s="12" t="s">
        <v>61</v>
      </c>
      <c r="E7" s="19" t="s">
        <v>55</v>
      </c>
      <c r="F7" s="12" t="s">
        <v>67</v>
      </c>
      <c r="G7" s="12" t="s">
        <v>68</v>
      </c>
      <c r="H7" s="12" t="s">
        <v>69</v>
      </c>
      <c r="I7" s="12" t="s">
        <v>70</v>
      </c>
      <c r="J7" s="14" t="s">
        <v>47</v>
      </c>
      <c r="K7" s="12"/>
      <c r="L7" s="12"/>
      <c r="M7" s="12"/>
    </row>
    <row r="8" customFormat="false" ht="32.8" hidden="false" customHeight="false" outlineLevel="0" collapsed="false">
      <c r="A8" s="15" t="s">
        <v>71</v>
      </c>
      <c r="B8" s="16" t="s">
        <v>31</v>
      </c>
      <c r="C8" s="16" t="s">
        <v>32</v>
      </c>
      <c r="D8" s="16" t="s">
        <v>72</v>
      </c>
      <c r="E8" s="17" t="s">
        <v>49</v>
      </c>
      <c r="F8" s="16" t="s">
        <v>73</v>
      </c>
      <c r="G8" s="16" t="s">
        <v>74</v>
      </c>
      <c r="H8" s="16" t="s">
        <v>75</v>
      </c>
      <c r="I8" s="16" t="s">
        <v>76</v>
      </c>
      <c r="J8" s="18" t="s">
        <v>47</v>
      </c>
      <c r="K8" s="16"/>
      <c r="L8" s="16"/>
      <c r="M8" s="16"/>
    </row>
    <row r="9" customFormat="false" ht="22.35" hidden="false" customHeight="false" outlineLevel="0" collapsed="false">
      <c r="A9" s="11" t="s">
        <v>77</v>
      </c>
      <c r="B9" s="12" t="s">
        <v>31</v>
      </c>
      <c r="C9" s="12" t="s">
        <v>32</v>
      </c>
      <c r="D9" s="12" t="s">
        <v>78</v>
      </c>
      <c r="E9" s="13" t="s">
        <v>34</v>
      </c>
      <c r="F9" s="12" t="s">
        <v>79</v>
      </c>
      <c r="G9" s="12" t="s">
        <v>80</v>
      </c>
      <c r="H9" s="12" t="s">
        <v>81</v>
      </c>
      <c r="I9" s="12" t="s">
        <v>82</v>
      </c>
      <c r="J9" s="14" t="s">
        <v>47</v>
      </c>
      <c r="K9" s="12"/>
      <c r="L9" s="12"/>
      <c r="M9" s="12"/>
    </row>
    <row r="10" customFormat="false" ht="22.35" hidden="false" customHeight="false" outlineLevel="0" collapsed="false">
      <c r="A10" s="15" t="s">
        <v>83</v>
      </c>
      <c r="B10" s="16" t="s">
        <v>31</v>
      </c>
      <c r="C10" s="16" t="s">
        <v>32</v>
      </c>
      <c r="D10" s="16" t="s">
        <v>78</v>
      </c>
      <c r="E10" s="17" t="s">
        <v>49</v>
      </c>
      <c r="F10" s="16" t="s">
        <v>84</v>
      </c>
      <c r="G10" s="16" t="s">
        <v>85</v>
      </c>
      <c r="H10" s="16" t="s">
        <v>86</v>
      </c>
      <c r="I10" s="16" t="s">
        <v>87</v>
      </c>
      <c r="J10" s="18" t="s">
        <v>47</v>
      </c>
      <c r="K10" s="16"/>
      <c r="L10" s="16"/>
      <c r="M10" s="16"/>
    </row>
    <row r="11" customFormat="false" ht="22.35" hidden="false" customHeight="false" outlineLevel="0" collapsed="false">
      <c r="A11" s="11" t="s">
        <v>88</v>
      </c>
      <c r="B11" s="12" t="s">
        <v>31</v>
      </c>
      <c r="C11" s="12" t="s">
        <v>32</v>
      </c>
      <c r="D11" s="12" t="s">
        <v>78</v>
      </c>
      <c r="E11" s="19" t="s">
        <v>55</v>
      </c>
      <c r="F11" s="12" t="s">
        <v>89</v>
      </c>
      <c r="G11" s="12" t="s">
        <v>90</v>
      </c>
      <c r="H11" s="12" t="s">
        <v>91</v>
      </c>
      <c r="I11" s="12" t="s">
        <v>92</v>
      </c>
      <c r="J11" s="14" t="s">
        <v>47</v>
      </c>
      <c r="K11" s="12"/>
      <c r="L11" s="12"/>
      <c r="M11" s="12"/>
    </row>
    <row r="12" customFormat="false" ht="32.8" hidden="false" customHeight="false" outlineLevel="0" collapsed="false">
      <c r="A12" s="15" t="s">
        <v>93</v>
      </c>
      <c r="B12" s="16" t="s">
        <v>31</v>
      </c>
      <c r="C12" s="16" t="s">
        <v>32</v>
      </c>
      <c r="D12" s="16" t="s">
        <v>94</v>
      </c>
      <c r="E12" s="17" t="s">
        <v>49</v>
      </c>
      <c r="F12" s="16" t="s">
        <v>95</v>
      </c>
      <c r="G12" s="16" t="s">
        <v>96</v>
      </c>
      <c r="H12" s="16" t="s">
        <v>97</v>
      </c>
      <c r="I12" s="16" t="s">
        <v>98</v>
      </c>
      <c r="J12" s="18" t="s">
        <v>47</v>
      </c>
      <c r="K12" s="16"/>
      <c r="L12" s="16"/>
      <c r="M12" s="16"/>
    </row>
    <row r="13" customFormat="false" ht="32.8" hidden="false" customHeight="false" outlineLevel="0" collapsed="false">
      <c r="A13" s="11" t="s">
        <v>99</v>
      </c>
      <c r="B13" s="12" t="s">
        <v>31</v>
      </c>
      <c r="C13" s="12" t="s">
        <v>32</v>
      </c>
      <c r="D13" s="12" t="s">
        <v>94</v>
      </c>
      <c r="E13" s="19" t="s">
        <v>55</v>
      </c>
      <c r="F13" s="12" t="s">
        <v>100</v>
      </c>
      <c r="G13" s="12" t="s">
        <v>101</v>
      </c>
      <c r="H13" s="12" t="s">
        <v>102</v>
      </c>
      <c r="I13" s="12" t="s">
        <v>103</v>
      </c>
      <c r="J13" s="14" t="s">
        <v>47</v>
      </c>
      <c r="K13" s="12"/>
      <c r="L13" s="12"/>
      <c r="M13" s="12"/>
    </row>
    <row r="14" customFormat="false" ht="22.35" hidden="false" customHeight="false" outlineLevel="0" collapsed="false">
      <c r="A14" s="15" t="s">
        <v>104</v>
      </c>
      <c r="B14" s="16" t="s">
        <v>31</v>
      </c>
      <c r="C14" s="16" t="s">
        <v>32</v>
      </c>
      <c r="D14" s="16" t="s">
        <v>105</v>
      </c>
      <c r="E14" s="19" t="s">
        <v>55</v>
      </c>
      <c r="F14" s="16" t="s">
        <v>106</v>
      </c>
      <c r="G14" s="16" t="s">
        <v>107</v>
      </c>
      <c r="H14" s="16" t="s">
        <v>108</v>
      </c>
      <c r="I14" s="16" t="s">
        <v>109</v>
      </c>
      <c r="J14" s="18" t="s">
        <v>47</v>
      </c>
      <c r="K14" s="16"/>
      <c r="L14" s="16"/>
      <c r="M14" s="16"/>
    </row>
    <row r="15" customFormat="false" ht="32.8" hidden="false" customHeight="false" outlineLevel="0" collapsed="false">
      <c r="A15" s="11" t="s">
        <v>110</v>
      </c>
      <c r="B15" s="12" t="s">
        <v>31</v>
      </c>
      <c r="C15" s="12" t="s">
        <v>32</v>
      </c>
      <c r="D15" s="12" t="s">
        <v>111</v>
      </c>
      <c r="E15" s="19" t="s">
        <v>55</v>
      </c>
      <c r="F15" s="12" t="s">
        <v>112</v>
      </c>
      <c r="G15" s="12" t="s">
        <v>113</v>
      </c>
      <c r="H15" s="12" t="s">
        <v>114</v>
      </c>
      <c r="I15" s="12" t="s">
        <v>115</v>
      </c>
      <c r="J15" s="14" t="s">
        <v>47</v>
      </c>
      <c r="K15" s="12"/>
      <c r="L15" s="12"/>
      <c r="M15" s="12"/>
    </row>
    <row r="16" customFormat="false" ht="43.25" hidden="false" customHeight="false" outlineLevel="0" collapsed="false">
      <c r="A16" s="15" t="s">
        <v>116</v>
      </c>
      <c r="B16" s="16" t="s">
        <v>117</v>
      </c>
      <c r="C16" s="16" t="s">
        <v>32</v>
      </c>
      <c r="D16" s="16" t="s">
        <v>118</v>
      </c>
      <c r="E16" s="13" t="s">
        <v>34</v>
      </c>
      <c r="F16" s="16" t="s">
        <v>119</v>
      </c>
      <c r="G16" s="16" t="s">
        <v>120</v>
      </c>
      <c r="H16" s="16" t="s">
        <v>121</v>
      </c>
      <c r="I16" s="16" t="s">
        <v>122</v>
      </c>
      <c r="J16" s="18" t="s">
        <v>47</v>
      </c>
      <c r="K16" s="16"/>
      <c r="L16" s="16"/>
      <c r="M16" s="16"/>
    </row>
    <row r="17" customFormat="false" ht="22.35" hidden="false" customHeight="false" outlineLevel="0" collapsed="false">
      <c r="A17" s="11" t="s">
        <v>123</v>
      </c>
      <c r="B17" s="12" t="s">
        <v>117</v>
      </c>
      <c r="C17" s="12" t="s">
        <v>32</v>
      </c>
      <c r="D17" s="12" t="s">
        <v>124</v>
      </c>
      <c r="E17" s="13" t="s">
        <v>34</v>
      </c>
      <c r="F17" s="12" t="s">
        <v>125</v>
      </c>
      <c r="G17" s="12" t="s">
        <v>126</v>
      </c>
      <c r="H17" s="12" t="s">
        <v>127</v>
      </c>
      <c r="I17" s="12" t="s">
        <v>128</v>
      </c>
      <c r="J17" s="14" t="s">
        <v>47</v>
      </c>
      <c r="K17" s="12"/>
      <c r="L17" s="12"/>
      <c r="M17" s="12"/>
    </row>
    <row r="18" customFormat="false" ht="22.35" hidden="false" customHeight="false" outlineLevel="0" collapsed="false">
      <c r="A18" s="15" t="s">
        <v>129</v>
      </c>
      <c r="B18" s="16" t="s">
        <v>117</v>
      </c>
      <c r="C18" s="16" t="s">
        <v>32</v>
      </c>
      <c r="D18" s="16" t="s">
        <v>130</v>
      </c>
      <c r="E18" s="17" t="s">
        <v>49</v>
      </c>
      <c r="F18" s="16" t="s">
        <v>131</v>
      </c>
      <c r="G18" s="16" t="s">
        <v>126</v>
      </c>
      <c r="H18" s="16" t="s">
        <v>132</v>
      </c>
      <c r="I18" s="16" t="s">
        <v>133</v>
      </c>
      <c r="J18" s="18" t="s">
        <v>47</v>
      </c>
      <c r="K18" s="16"/>
      <c r="L18" s="16"/>
      <c r="M18" s="16"/>
    </row>
    <row r="19" customFormat="false" ht="22.35" hidden="false" customHeight="false" outlineLevel="0" collapsed="false">
      <c r="A19" s="11" t="s">
        <v>134</v>
      </c>
      <c r="B19" s="12" t="s">
        <v>117</v>
      </c>
      <c r="C19" s="12" t="s">
        <v>32</v>
      </c>
      <c r="D19" s="12" t="s">
        <v>135</v>
      </c>
      <c r="E19" s="17" t="s">
        <v>49</v>
      </c>
      <c r="F19" s="12" t="s">
        <v>136</v>
      </c>
      <c r="G19" s="12" t="s">
        <v>126</v>
      </c>
      <c r="H19" s="12" t="s">
        <v>137</v>
      </c>
      <c r="I19" s="12" t="s">
        <v>138</v>
      </c>
      <c r="J19" s="14" t="s">
        <v>47</v>
      </c>
      <c r="K19" s="12"/>
      <c r="L19" s="12"/>
      <c r="M19" s="12"/>
    </row>
    <row r="20" customFormat="false" ht="22.35" hidden="false" customHeight="false" outlineLevel="0" collapsed="false">
      <c r="A20" s="15" t="s">
        <v>139</v>
      </c>
      <c r="B20" s="16" t="s">
        <v>117</v>
      </c>
      <c r="C20" s="16" t="s">
        <v>32</v>
      </c>
      <c r="D20" s="16" t="s">
        <v>140</v>
      </c>
      <c r="E20" s="17" t="s">
        <v>49</v>
      </c>
      <c r="F20" s="16" t="s">
        <v>141</v>
      </c>
      <c r="G20" s="16" t="s">
        <v>142</v>
      </c>
      <c r="H20" s="16" t="s">
        <v>143</v>
      </c>
      <c r="I20" s="16" t="s">
        <v>144</v>
      </c>
      <c r="J20" s="18" t="s">
        <v>47</v>
      </c>
      <c r="K20" s="16"/>
      <c r="L20" s="16"/>
      <c r="M20" s="16"/>
    </row>
    <row r="21" customFormat="false" ht="22.35" hidden="false" customHeight="false" outlineLevel="0" collapsed="false">
      <c r="A21" s="11" t="s">
        <v>145</v>
      </c>
      <c r="B21" s="12" t="s">
        <v>117</v>
      </c>
      <c r="C21" s="12" t="s">
        <v>32</v>
      </c>
      <c r="D21" s="12" t="s">
        <v>146</v>
      </c>
      <c r="E21" s="19" t="s">
        <v>55</v>
      </c>
      <c r="F21" s="12" t="s">
        <v>147</v>
      </c>
      <c r="G21" s="12" t="s">
        <v>148</v>
      </c>
      <c r="H21" s="12" t="s">
        <v>149</v>
      </c>
      <c r="I21" s="12" t="s">
        <v>150</v>
      </c>
      <c r="J21" s="14" t="s">
        <v>47</v>
      </c>
      <c r="K21" s="12"/>
      <c r="L21" s="12"/>
      <c r="M21" s="12"/>
    </row>
    <row r="22" customFormat="false" ht="32.8" hidden="false" customHeight="false" outlineLevel="0" collapsed="false">
      <c r="A22" s="15" t="s">
        <v>151</v>
      </c>
      <c r="B22" s="16" t="s">
        <v>117</v>
      </c>
      <c r="C22" s="16" t="s">
        <v>152</v>
      </c>
      <c r="D22" s="16" t="s">
        <v>153</v>
      </c>
      <c r="E22" s="17" t="s">
        <v>49</v>
      </c>
      <c r="F22" s="16" t="s">
        <v>154</v>
      </c>
      <c r="G22" s="16" t="s">
        <v>155</v>
      </c>
      <c r="H22" s="16" t="s">
        <v>156</v>
      </c>
      <c r="I22" s="16" t="s">
        <v>157</v>
      </c>
      <c r="J22" s="18" t="s">
        <v>47</v>
      </c>
      <c r="K22" s="16"/>
      <c r="L22" s="16"/>
      <c r="M22" s="16"/>
    </row>
    <row r="23" customFormat="false" ht="22.35" hidden="false" customHeight="false" outlineLevel="0" collapsed="false">
      <c r="A23" s="11" t="s">
        <v>158</v>
      </c>
      <c r="B23" s="12" t="s">
        <v>117</v>
      </c>
      <c r="C23" s="12" t="s">
        <v>32</v>
      </c>
      <c r="D23" s="12" t="s">
        <v>159</v>
      </c>
      <c r="E23" s="19" t="s">
        <v>55</v>
      </c>
      <c r="F23" s="12" t="s">
        <v>160</v>
      </c>
      <c r="G23" s="12" t="s">
        <v>161</v>
      </c>
      <c r="H23" s="12" t="s">
        <v>162</v>
      </c>
      <c r="I23" s="12" t="s">
        <v>163</v>
      </c>
      <c r="J23" s="14" t="s">
        <v>47</v>
      </c>
      <c r="K23" s="12"/>
      <c r="L23" s="12"/>
      <c r="M23" s="12"/>
    </row>
    <row r="24" customFormat="false" ht="22.35" hidden="false" customHeight="false" outlineLevel="0" collapsed="false">
      <c r="A24" s="15" t="s">
        <v>164</v>
      </c>
      <c r="B24" s="16" t="s">
        <v>117</v>
      </c>
      <c r="C24" s="16" t="s">
        <v>32</v>
      </c>
      <c r="D24" s="16" t="s">
        <v>165</v>
      </c>
      <c r="E24" s="19" t="s">
        <v>55</v>
      </c>
      <c r="F24" s="16" t="s">
        <v>166</v>
      </c>
      <c r="G24" s="16" t="s">
        <v>167</v>
      </c>
      <c r="H24" s="16" t="s">
        <v>168</v>
      </c>
      <c r="I24" s="16" t="s">
        <v>169</v>
      </c>
      <c r="J24" s="18" t="s">
        <v>47</v>
      </c>
      <c r="K24" s="16"/>
      <c r="L24" s="16"/>
      <c r="M24" s="16"/>
    </row>
    <row r="25" customFormat="false" ht="22.35" hidden="false" customHeight="false" outlineLevel="0" collapsed="false">
      <c r="A25" s="11" t="s">
        <v>170</v>
      </c>
      <c r="B25" s="12" t="s">
        <v>117</v>
      </c>
      <c r="C25" s="12" t="s">
        <v>32</v>
      </c>
      <c r="D25" s="12" t="s">
        <v>171</v>
      </c>
      <c r="E25" s="19" t="s">
        <v>55</v>
      </c>
      <c r="F25" s="12" t="s">
        <v>172</v>
      </c>
      <c r="G25" s="12" t="s">
        <v>107</v>
      </c>
      <c r="H25" s="12" t="s">
        <v>173</v>
      </c>
      <c r="I25" s="12" t="s">
        <v>174</v>
      </c>
      <c r="J25" s="14" t="s">
        <v>47</v>
      </c>
      <c r="K25" s="12"/>
      <c r="L25" s="12"/>
      <c r="M25" s="12"/>
    </row>
    <row r="26" customFormat="false" ht="22.35" hidden="false" customHeight="false" outlineLevel="0" collapsed="false">
      <c r="A26" s="15" t="s">
        <v>175</v>
      </c>
      <c r="B26" s="16" t="s">
        <v>117</v>
      </c>
      <c r="C26" s="16" t="s">
        <v>32</v>
      </c>
      <c r="D26" s="16" t="s">
        <v>176</v>
      </c>
      <c r="E26" s="19" t="s">
        <v>55</v>
      </c>
      <c r="F26" s="16" t="s">
        <v>177</v>
      </c>
      <c r="G26" s="16" t="s">
        <v>126</v>
      </c>
      <c r="H26" s="16" t="s">
        <v>178</v>
      </c>
      <c r="I26" s="16" t="s">
        <v>179</v>
      </c>
      <c r="J26" s="18" t="s">
        <v>47</v>
      </c>
      <c r="K26" s="16"/>
      <c r="L26" s="16"/>
      <c r="M26" s="16"/>
    </row>
    <row r="27" customFormat="false" ht="32.8" hidden="false" customHeight="false" outlineLevel="0" collapsed="false">
      <c r="A27" s="11" t="s">
        <v>180</v>
      </c>
      <c r="B27" s="12" t="s">
        <v>181</v>
      </c>
      <c r="C27" s="12" t="s">
        <v>182</v>
      </c>
      <c r="D27" s="12" t="s">
        <v>183</v>
      </c>
      <c r="E27" s="13" t="s">
        <v>34</v>
      </c>
      <c r="F27" s="12" t="s">
        <v>184</v>
      </c>
      <c r="G27" s="12" t="s">
        <v>185</v>
      </c>
      <c r="H27" s="12" t="s">
        <v>186</v>
      </c>
      <c r="I27" s="12" t="s">
        <v>187</v>
      </c>
      <c r="J27" s="14" t="s">
        <v>47</v>
      </c>
      <c r="K27" s="12"/>
      <c r="L27" s="12"/>
      <c r="M27" s="12"/>
    </row>
    <row r="28" customFormat="false" ht="32.8" hidden="false" customHeight="false" outlineLevel="0" collapsed="false">
      <c r="A28" s="15" t="s">
        <v>188</v>
      </c>
      <c r="B28" s="16" t="s">
        <v>181</v>
      </c>
      <c r="C28" s="16" t="s">
        <v>182</v>
      </c>
      <c r="D28" s="16" t="s">
        <v>183</v>
      </c>
      <c r="E28" s="17" t="s">
        <v>49</v>
      </c>
      <c r="F28" s="16" t="s">
        <v>189</v>
      </c>
      <c r="G28" s="16" t="s">
        <v>190</v>
      </c>
      <c r="H28" s="16" t="s">
        <v>191</v>
      </c>
      <c r="I28" s="16" t="s">
        <v>192</v>
      </c>
      <c r="J28" s="18" t="s">
        <v>47</v>
      </c>
      <c r="K28" s="16"/>
      <c r="L28" s="16"/>
      <c r="M28" s="16"/>
    </row>
    <row r="29" customFormat="false" ht="22.35" hidden="false" customHeight="false" outlineLevel="0" collapsed="false">
      <c r="A29" s="11" t="s">
        <v>193</v>
      </c>
      <c r="B29" s="12" t="s">
        <v>181</v>
      </c>
      <c r="C29" s="12" t="s">
        <v>182</v>
      </c>
      <c r="D29" s="12" t="s">
        <v>194</v>
      </c>
      <c r="E29" s="17" t="s">
        <v>49</v>
      </c>
      <c r="F29" s="12" t="s">
        <v>195</v>
      </c>
      <c r="G29" s="12" t="s">
        <v>196</v>
      </c>
      <c r="H29" s="12" t="s">
        <v>197</v>
      </c>
      <c r="I29" s="12" t="s">
        <v>198</v>
      </c>
      <c r="J29" s="14" t="s">
        <v>47</v>
      </c>
      <c r="K29" s="12"/>
      <c r="L29" s="12"/>
      <c r="M29" s="12"/>
    </row>
    <row r="30" customFormat="false" ht="22.35" hidden="false" customHeight="false" outlineLevel="0" collapsed="false">
      <c r="A30" s="15" t="s">
        <v>199</v>
      </c>
      <c r="B30" s="16" t="s">
        <v>181</v>
      </c>
      <c r="C30" s="16" t="s">
        <v>182</v>
      </c>
      <c r="D30" s="16" t="s">
        <v>200</v>
      </c>
      <c r="E30" s="17" t="s">
        <v>49</v>
      </c>
      <c r="F30" s="16" t="s">
        <v>201</v>
      </c>
      <c r="G30" s="16" t="s">
        <v>202</v>
      </c>
      <c r="H30" s="16" t="s">
        <v>203</v>
      </c>
      <c r="I30" s="16" t="s">
        <v>204</v>
      </c>
      <c r="J30" s="18" t="s">
        <v>47</v>
      </c>
      <c r="K30" s="16"/>
      <c r="L30" s="16"/>
      <c r="M30" s="16"/>
    </row>
    <row r="31" customFormat="false" ht="22.35" hidden="false" customHeight="false" outlineLevel="0" collapsed="false">
      <c r="A31" s="11" t="s">
        <v>205</v>
      </c>
      <c r="B31" s="12" t="s">
        <v>181</v>
      </c>
      <c r="C31" s="12" t="s">
        <v>182</v>
      </c>
      <c r="D31" s="12" t="s">
        <v>206</v>
      </c>
      <c r="E31" s="13" t="s">
        <v>34</v>
      </c>
      <c r="F31" s="12" t="s">
        <v>207</v>
      </c>
      <c r="G31" s="12" t="s">
        <v>208</v>
      </c>
      <c r="H31" s="12" t="s">
        <v>209</v>
      </c>
      <c r="I31" s="12" t="s">
        <v>210</v>
      </c>
      <c r="J31" s="14" t="s">
        <v>47</v>
      </c>
      <c r="K31" s="12"/>
      <c r="L31" s="12"/>
      <c r="M31" s="12"/>
    </row>
    <row r="32" customFormat="false" ht="22.35" hidden="false" customHeight="false" outlineLevel="0" collapsed="false">
      <c r="A32" s="15" t="s">
        <v>211</v>
      </c>
      <c r="B32" s="16" t="s">
        <v>181</v>
      </c>
      <c r="C32" s="16" t="s">
        <v>182</v>
      </c>
      <c r="D32" s="16" t="s">
        <v>212</v>
      </c>
      <c r="E32" s="17" t="s">
        <v>49</v>
      </c>
      <c r="F32" s="16" t="s">
        <v>213</v>
      </c>
      <c r="G32" s="16" t="s">
        <v>214</v>
      </c>
      <c r="H32" s="16" t="s">
        <v>215</v>
      </c>
      <c r="I32" s="16" t="s">
        <v>216</v>
      </c>
      <c r="J32" s="18" t="s">
        <v>47</v>
      </c>
      <c r="K32" s="16"/>
      <c r="L32" s="16"/>
      <c r="M32" s="16"/>
    </row>
    <row r="33" customFormat="false" ht="22.35" hidden="false" customHeight="false" outlineLevel="0" collapsed="false">
      <c r="A33" s="11" t="s">
        <v>217</v>
      </c>
      <c r="B33" s="12" t="s">
        <v>181</v>
      </c>
      <c r="C33" s="12" t="s">
        <v>182</v>
      </c>
      <c r="D33" s="12" t="s">
        <v>218</v>
      </c>
      <c r="E33" s="19" t="s">
        <v>55</v>
      </c>
      <c r="F33" s="12" t="s">
        <v>219</v>
      </c>
      <c r="G33" s="12" t="s">
        <v>220</v>
      </c>
      <c r="H33" s="12" t="s">
        <v>221</v>
      </c>
      <c r="I33" s="12" t="s">
        <v>222</v>
      </c>
      <c r="J33" s="14" t="s">
        <v>47</v>
      </c>
      <c r="K33" s="12"/>
      <c r="L33" s="12"/>
      <c r="M33" s="12"/>
    </row>
    <row r="34" customFormat="false" ht="22.35" hidden="false" customHeight="false" outlineLevel="0" collapsed="false">
      <c r="A34" s="15" t="s">
        <v>223</v>
      </c>
      <c r="B34" s="16" t="s">
        <v>181</v>
      </c>
      <c r="C34" s="16" t="s">
        <v>182</v>
      </c>
      <c r="D34" s="16" t="s">
        <v>224</v>
      </c>
      <c r="E34" s="17" t="s">
        <v>49</v>
      </c>
      <c r="F34" s="16" t="s">
        <v>225</v>
      </c>
      <c r="G34" s="16" t="s">
        <v>226</v>
      </c>
      <c r="H34" s="16" t="s">
        <v>227</v>
      </c>
      <c r="I34" s="16" t="s">
        <v>228</v>
      </c>
      <c r="J34" s="18" t="s">
        <v>47</v>
      </c>
      <c r="K34" s="16"/>
      <c r="L34" s="16"/>
      <c r="M34" s="16"/>
    </row>
    <row r="35" customFormat="false" ht="22.35" hidden="false" customHeight="false" outlineLevel="0" collapsed="false">
      <c r="A35" s="11" t="s">
        <v>229</v>
      </c>
      <c r="B35" s="12" t="s">
        <v>181</v>
      </c>
      <c r="C35" s="12" t="s">
        <v>182</v>
      </c>
      <c r="D35" s="12" t="s">
        <v>230</v>
      </c>
      <c r="E35" s="19" t="s">
        <v>55</v>
      </c>
      <c r="F35" s="12" t="s">
        <v>231</v>
      </c>
      <c r="G35" s="12" t="s">
        <v>232</v>
      </c>
      <c r="H35" s="12" t="s">
        <v>233</v>
      </c>
      <c r="I35" s="12" t="s">
        <v>234</v>
      </c>
      <c r="J35" s="14" t="s">
        <v>47</v>
      </c>
      <c r="K35" s="12"/>
      <c r="L35" s="12"/>
      <c r="M35" s="12"/>
    </row>
    <row r="36" customFormat="false" ht="32.8" hidden="false" customHeight="false" outlineLevel="0" collapsed="false">
      <c r="A36" s="15" t="s">
        <v>235</v>
      </c>
      <c r="B36" s="16" t="s">
        <v>181</v>
      </c>
      <c r="C36" s="16" t="s">
        <v>182</v>
      </c>
      <c r="D36" s="16" t="s">
        <v>236</v>
      </c>
      <c r="E36" s="19" t="s">
        <v>55</v>
      </c>
      <c r="F36" s="16" t="s">
        <v>237</v>
      </c>
      <c r="G36" s="16" t="s">
        <v>238</v>
      </c>
      <c r="H36" s="16" t="s">
        <v>239</v>
      </c>
      <c r="I36" s="16" t="s">
        <v>240</v>
      </c>
      <c r="J36" s="18" t="s">
        <v>47</v>
      </c>
      <c r="K36" s="16"/>
      <c r="L36" s="16"/>
      <c r="M36" s="16"/>
    </row>
    <row r="37" customFormat="false" ht="15" hidden="false" customHeight="false" outlineLevel="0" collapsed="false">
      <c r="A37" s="11" t="s">
        <v>241</v>
      </c>
      <c r="B37" s="12" t="s">
        <v>181</v>
      </c>
      <c r="C37" s="12" t="s">
        <v>182</v>
      </c>
      <c r="D37" s="12" t="s">
        <v>242</v>
      </c>
      <c r="E37" s="19" t="s">
        <v>55</v>
      </c>
      <c r="F37" s="12" t="s">
        <v>243</v>
      </c>
      <c r="G37" s="12" t="s">
        <v>244</v>
      </c>
      <c r="H37" s="12" t="s">
        <v>245</v>
      </c>
      <c r="I37" s="12" t="s">
        <v>246</v>
      </c>
      <c r="J37" s="14" t="s">
        <v>47</v>
      </c>
      <c r="K37" s="12"/>
      <c r="L37" s="12"/>
      <c r="M37" s="12"/>
    </row>
    <row r="38" customFormat="false" ht="43.25" hidden="false" customHeight="false" outlineLevel="0" collapsed="false">
      <c r="A38" s="15" t="s">
        <v>247</v>
      </c>
      <c r="B38" s="16" t="s">
        <v>248</v>
      </c>
      <c r="C38" s="16" t="s">
        <v>182</v>
      </c>
      <c r="D38" s="16" t="s">
        <v>249</v>
      </c>
      <c r="E38" s="13" t="s">
        <v>34</v>
      </c>
      <c r="F38" s="16" t="s">
        <v>250</v>
      </c>
      <c r="G38" s="16" t="s">
        <v>251</v>
      </c>
      <c r="H38" s="16" t="s">
        <v>252</v>
      </c>
      <c r="I38" s="16" t="s">
        <v>253</v>
      </c>
      <c r="J38" s="18" t="s">
        <v>47</v>
      </c>
      <c r="K38" s="16"/>
      <c r="L38" s="16"/>
      <c r="M38" s="16"/>
    </row>
    <row r="39" customFormat="false" ht="22.35" hidden="false" customHeight="false" outlineLevel="0" collapsed="false">
      <c r="A39" s="11" t="s">
        <v>254</v>
      </c>
      <c r="B39" s="12" t="s">
        <v>248</v>
      </c>
      <c r="C39" s="12" t="s">
        <v>182</v>
      </c>
      <c r="D39" s="12" t="s">
        <v>255</v>
      </c>
      <c r="E39" s="17" t="s">
        <v>49</v>
      </c>
      <c r="F39" s="12" t="s">
        <v>256</v>
      </c>
      <c r="G39" s="12" t="s">
        <v>257</v>
      </c>
      <c r="H39" s="12" t="s">
        <v>258</v>
      </c>
      <c r="I39" s="12" t="s">
        <v>259</v>
      </c>
      <c r="J39" s="14" t="s">
        <v>47</v>
      </c>
      <c r="K39" s="12"/>
      <c r="L39" s="12"/>
      <c r="M39" s="12"/>
    </row>
    <row r="40" customFormat="false" ht="22.35" hidden="false" customHeight="false" outlineLevel="0" collapsed="false">
      <c r="A40" s="15" t="s">
        <v>260</v>
      </c>
      <c r="B40" s="16" t="s">
        <v>248</v>
      </c>
      <c r="C40" s="16" t="s">
        <v>182</v>
      </c>
      <c r="D40" s="16" t="s">
        <v>261</v>
      </c>
      <c r="E40" s="13" t="s">
        <v>34</v>
      </c>
      <c r="F40" s="16" t="s">
        <v>262</v>
      </c>
      <c r="G40" s="16" t="s">
        <v>263</v>
      </c>
      <c r="H40" s="16" t="s">
        <v>264</v>
      </c>
      <c r="I40" s="16" t="s">
        <v>265</v>
      </c>
      <c r="J40" s="18" t="s">
        <v>47</v>
      </c>
      <c r="K40" s="16"/>
      <c r="L40" s="16"/>
      <c r="M40" s="16"/>
    </row>
    <row r="41" customFormat="false" ht="22.35" hidden="false" customHeight="false" outlineLevel="0" collapsed="false">
      <c r="A41" s="11" t="s">
        <v>266</v>
      </c>
      <c r="B41" s="12" t="s">
        <v>248</v>
      </c>
      <c r="C41" s="12" t="s">
        <v>182</v>
      </c>
      <c r="D41" s="12" t="s">
        <v>267</v>
      </c>
      <c r="E41" s="17" t="s">
        <v>49</v>
      </c>
      <c r="F41" s="12" t="s">
        <v>268</v>
      </c>
      <c r="G41" s="12" t="s">
        <v>269</v>
      </c>
      <c r="H41" s="12" t="s">
        <v>270</v>
      </c>
      <c r="I41" s="12" t="s">
        <v>271</v>
      </c>
      <c r="J41" s="14" t="s">
        <v>47</v>
      </c>
      <c r="K41" s="12"/>
      <c r="L41" s="12"/>
      <c r="M41" s="12"/>
    </row>
    <row r="42" customFormat="false" ht="22.35" hidden="false" customHeight="false" outlineLevel="0" collapsed="false">
      <c r="A42" s="15" t="s">
        <v>272</v>
      </c>
      <c r="B42" s="16" t="s">
        <v>248</v>
      </c>
      <c r="C42" s="16" t="s">
        <v>182</v>
      </c>
      <c r="D42" s="16" t="s">
        <v>273</v>
      </c>
      <c r="E42" s="19" t="s">
        <v>55</v>
      </c>
      <c r="F42" s="16" t="s">
        <v>274</v>
      </c>
      <c r="G42" s="16" t="s">
        <v>275</v>
      </c>
      <c r="H42" s="16" t="s">
        <v>276</v>
      </c>
      <c r="I42" s="16" t="s">
        <v>277</v>
      </c>
      <c r="J42" s="18" t="s">
        <v>47</v>
      </c>
      <c r="K42" s="16"/>
      <c r="L42" s="16"/>
      <c r="M42" s="16"/>
    </row>
    <row r="43" customFormat="false" ht="22.35" hidden="false" customHeight="false" outlineLevel="0" collapsed="false">
      <c r="A43" s="11" t="s">
        <v>278</v>
      </c>
      <c r="B43" s="12" t="s">
        <v>248</v>
      </c>
      <c r="C43" s="12" t="s">
        <v>182</v>
      </c>
      <c r="D43" s="12" t="s">
        <v>279</v>
      </c>
      <c r="E43" s="19" t="s">
        <v>55</v>
      </c>
      <c r="F43" s="12" t="s">
        <v>280</v>
      </c>
      <c r="G43" s="12" t="s">
        <v>281</v>
      </c>
      <c r="H43" s="12" t="s">
        <v>282</v>
      </c>
      <c r="I43" s="12" t="s">
        <v>283</v>
      </c>
      <c r="J43" s="14" t="s">
        <v>47</v>
      </c>
      <c r="K43" s="12"/>
      <c r="L43" s="12"/>
      <c r="M43" s="12"/>
    </row>
    <row r="44" customFormat="false" ht="22.35" hidden="false" customHeight="false" outlineLevel="0" collapsed="false">
      <c r="A44" s="15" t="s">
        <v>284</v>
      </c>
      <c r="B44" s="16" t="s">
        <v>285</v>
      </c>
      <c r="C44" s="16" t="s">
        <v>182</v>
      </c>
      <c r="D44" s="16" t="s">
        <v>286</v>
      </c>
      <c r="E44" s="13" t="s">
        <v>34</v>
      </c>
      <c r="F44" s="16" t="s">
        <v>287</v>
      </c>
      <c r="G44" s="16" t="s">
        <v>288</v>
      </c>
      <c r="H44" s="16" t="s">
        <v>289</v>
      </c>
      <c r="I44" s="16" t="s">
        <v>290</v>
      </c>
      <c r="J44" s="18" t="s">
        <v>47</v>
      </c>
      <c r="K44" s="16"/>
      <c r="L44" s="16"/>
      <c r="M44" s="16"/>
    </row>
    <row r="45" customFormat="false" ht="22.35" hidden="false" customHeight="false" outlineLevel="0" collapsed="false">
      <c r="A45" s="11" t="s">
        <v>291</v>
      </c>
      <c r="B45" s="12" t="s">
        <v>285</v>
      </c>
      <c r="C45" s="12" t="s">
        <v>292</v>
      </c>
      <c r="D45" s="12" t="s">
        <v>293</v>
      </c>
      <c r="E45" s="13" t="s">
        <v>34</v>
      </c>
      <c r="F45" s="12" t="s">
        <v>294</v>
      </c>
      <c r="G45" s="12" t="s">
        <v>295</v>
      </c>
      <c r="H45" s="12" t="s">
        <v>296</v>
      </c>
      <c r="I45" s="12" t="s">
        <v>297</v>
      </c>
      <c r="J45" s="14" t="s">
        <v>47</v>
      </c>
      <c r="K45" s="12"/>
      <c r="L45" s="12"/>
      <c r="M45" s="12"/>
    </row>
    <row r="46" customFormat="false" ht="22.35" hidden="false" customHeight="false" outlineLevel="0" collapsed="false">
      <c r="A46" s="15" t="s">
        <v>298</v>
      </c>
      <c r="B46" s="16" t="s">
        <v>285</v>
      </c>
      <c r="C46" s="16" t="s">
        <v>182</v>
      </c>
      <c r="D46" s="16" t="s">
        <v>299</v>
      </c>
      <c r="E46" s="17" t="s">
        <v>49</v>
      </c>
      <c r="F46" s="16" t="s">
        <v>300</v>
      </c>
      <c r="G46" s="16" t="s">
        <v>301</v>
      </c>
      <c r="H46" s="16" t="s">
        <v>302</v>
      </c>
      <c r="I46" s="16" t="s">
        <v>303</v>
      </c>
      <c r="J46" s="18" t="s">
        <v>47</v>
      </c>
      <c r="K46" s="16"/>
      <c r="L46" s="16"/>
      <c r="M46" s="16"/>
    </row>
    <row r="47" customFormat="false" ht="15" hidden="false" customHeight="false" outlineLevel="0" collapsed="false">
      <c r="A47" s="11" t="s">
        <v>304</v>
      </c>
      <c r="B47" s="12" t="s">
        <v>285</v>
      </c>
      <c r="C47" s="12" t="s">
        <v>182</v>
      </c>
      <c r="D47" s="12" t="s">
        <v>299</v>
      </c>
      <c r="E47" s="17" t="s">
        <v>49</v>
      </c>
      <c r="F47" s="12" t="s">
        <v>305</v>
      </c>
      <c r="G47" s="12" t="s">
        <v>306</v>
      </c>
      <c r="H47" s="12" t="s">
        <v>307</v>
      </c>
      <c r="I47" s="12" t="s">
        <v>308</v>
      </c>
      <c r="J47" s="14" t="s">
        <v>47</v>
      </c>
      <c r="K47" s="12"/>
      <c r="L47" s="12"/>
      <c r="M47" s="12"/>
    </row>
    <row r="48" customFormat="false" ht="22.35" hidden="false" customHeight="false" outlineLevel="0" collapsed="false">
      <c r="A48" s="15" t="s">
        <v>309</v>
      </c>
      <c r="B48" s="16" t="s">
        <v>285</v>
      </c>
      <c r="C48" s="16" t="s">
        <v>182</v>
      </c>
      <c r="D48" s="16" t="s">
        <v>183</v>
      </c>
      <c r="E48" s="17" t="s">
        <v>49</v>
      </c>
      <c r="F48" s="16" t="s">
        <v>310</v>
      </c>
      <c r="G48" s="16" t="s">
        <v>311</v>
      </c>
      <c r="H48" s="16" t="s">
        <v>312</v>
      </c>
      <c r="I48" s="16" t="s">
        <v>313</v>
      </c>
      <c r="J48" s="18" t="s">
        <v>47</v>
      </c>
      <c r="K48" s="16"/>
      <c r="L48" s="16"/>
      <c r="M48" s="16"/>
    </row>
    <row r="49" customFormat="false" ht="15" hidden="false" customHeight="false" outlineLevel="0" collapsed="false">
      <c r="A49" s="11" t="s">
        <v>314</v>
      </c>
      <c r="B49" s="12" t="s">
        <v>285</v>
      </c>
      <c r="C49" s="12" t="s">
        <v>182</v>
      </c>
      <c r="D49" s="12" t="s">
        <v>315</v>
      </c>
      <c r="E49" s="19" t="s">
        <v>55</v>
      </c>
      <c r="F49" s="12" t="s">
        <v>316</v>
      </c>
      <c r="G49" s="12" t="s">
        <v>317</v>
      </c>
      <c r="H49" s="12" t="s">
        <v>318</v>
      </c>
      <c r="I49" s="12" t="s">
        <v>319</v>
      </c>
      <c r="J49" s="14" t="s">
        <v>47</v>
      </c>
      <c r="K49" s="12"/>
      <c r="L49" s="12"/>
      <c r="M49" s="12"/>
    </row>
    <row r="50" customFormat="false" ht="22.35" hidden="false" customHeight="false" outlineLevel="0" collapsed="false">
      <c r="A50" s="15" t="s">
        <v>320</v>
      </c>
      <c r="B50" s="16" t="s">
        <v>285</v>
      </c>
      <c r="C50" s="16" t="s">
        <v>292</v>
      </c>
      <c r="D50" s="16" t="s">
        <v>183</v>
      </c>
      <c r="E50" s="17" t="s">
        <v>49</v>
      </c>
      <c r="F50" s="16" t="s">
        <v>321</v>
      </c>
      <c r="G50" s="16" t="s">
        <v>322</v>
      </c>
      <c r="H50" s="16" t="s">
        <v>323</v>
      </c>
      <c r="I50" s="16" t="s">
        <v>324</v>
      </c>
      <c r="J50" s="18" t="s">
        <v>47</v>
      </c>
      <c r="K50" s="16"/>
      <c r="L50" s="16"/>
      <c r="M50" s="16"/>
    </row>
    <row r="51" customFormat="false" ht="22.35" hidden="false" customHeight="false" outlineLevel="0" collapsed="false">
      <c r="A51" s="11" t="s">
        <v>325</v>
      </c>
      <c r="B51" s="12" t="s">
        <v>285</v>
      </c>
      <c r="C51" s="12" t="s">
        <v>292</v>
      </c>
      <c r="D51" s="12" t="s">
        <v>326</v>
      </c>
      <c r="E51" s="17" t="s">
        <v>49</v>
      </c>
      <c r="F51" s="12" t="s">
        <v>327</v>
      </c>
      <c r="G51" s="12" t="s">
        <v>328</v>
      </c>
      <c r="H51" s="12" t="s">
        <v>329</v>
      </c>
      <c r="I51" s="12" t="s">
        <v>330</v>
      </c>
      <c r="J51" s="14" t="s">
        <v>47</v>
      </c>
      <c r="K51" s="12"/>
      <c r="L51" s="12"/>
      <c r="M51" s="12"/>
    </row>
    <row r="52" customFormat="false" ht="22.35" hidden="false" customHeight="false" outlineLevel="0" collapsed="false">
      <c r="A52" s="15" t="s">
        <v>331</v>
      </c>
      <c r="B52" s="16" t="s">
        <v>285</v>
      </c>
      <c r="C52" s="16" t="s">
        <v>182</v>
      </c>
      <c r="D52" s="16" t="s">
        <v>332</v>
      </c>
      <c r="E52" s="19" t="s">
        <v>55</v>
      </c>
      <c r="F52" s="16" t="s">
        <v>333</v>
      </c>
      <c r="G52" s="16" t="s">
        <v>334</v>
      </c>
      <c r="H52" s="16" t="s">
        <v>335</v>
      </c>
      <c r="I52" s="16" t="s">
        <v>336</v>
      </c>
      <c r="J52" s="18" t="s">
        <v>47</v>
      </c>
      <c r="K52" s="16"/>
      <c r="L52" s="16"/>
      <c r="M52" s="16"/>
    </row>
    <row r="53" customFormat="false" ht="22.35" hidden="false" customHeight="false" outlineLevel="0" collapsed="false">
      <c r="A53" s="11" t="s">
        <v>337</v>
      </c>
      <c r="B53" s="12" t="s">
        <v>285</v>
      </c>
      <c r="C53" s="12" t="s">
        <v>182</v>
      </c>
      <c r="D53" s="12" t="s">
        <v>332</v>
      </c>
      <c r="E53" s="19" t="s">
        <v>55</v>
      </c>
      <c r="F53" s="12" t="s">
        <v>338</v>
      </c>
      <c r="G53" s="12" t="s">
        <v>339</v>
      </c>
      <c r="H53" s="12" t="s">
        <v>340</v>
      </c>
      <c r="I53" s="12" t="s">
        <v>341</v>
      </c>
      <c r="J53" s="14" t="s">
        <v>47</v>
      </c>
      <c r="K53" s="12"/>
      <c r="L53" s="12"/>
      <c r="M53" s="12"/>
    </row>
    <row r="54" customFormat="false" ht="15" hidden="false" customHeight="false" outlineLevel="0" collapsed="false">
      <c r="A54" s="15" t="s">
        <v>342</v>
      </c>
      <c r="B54" s="16" t="s">
        <v>343</v>
      </c>
      <c r="C54" s="16" t="s">
        <v>32</v>
      </c>
      <c r="D54" s="16" t="s">
        <v>344</v>
      </c>
      <c r="E54" s="13" t="s">
        <v>34</v>
      </c>
      <c r="F54" s="16" t="s">
        <v>345</v>
      </c>
      <c r="G54" s="16" t="s">
        <v>346</v>
      </c>
      <c r="H54" s="16" t="s">
        <v>347</v>
      </c>
      <c r="I54" s="16" t="s">
        <v>348</v>
      </c>
      <c r="J54" s="18" t="s">
        <v>47</v>
      </c>
      <c r="K54" s="16"/>
      <c r="L54" s="16"/>
      <c r="M54" s="16"/>
    </row>
    <row r="55" customFormat="false" ht="22.35" hidden="false" customHeight="false" outlineLevel="0" collapsed="false">
      <c r="A55" s="11" t="s">
        <v>349</v>
      </c>
      <c r="B55" s="12" t="s">
        <v>343</v>
      </c>
      <c r="C55" s="12" t="s">
        <v>32</v>
      </c>
      <c r="D55" s="12" t="s">
        <v>350</v>
      </c>
      <c r="E55" s="17" t="s">
        <v>49</v>
      </c>
      <c r="F55" s="12" t="s">
        <v>351</v>
      </c>
      <c r="G55" s="12" t="s">
        <v>352</v>
      </c>
      <c r="H55" s="12" t="s">
        <v>353</v>
      </c>
      <c r="I55" s="12" t="s">
        <v>354</v>
      </c>
      <c r="J55" s="14" t="s">
        <v>47</v>
      </c>
      <c r="K55" s="12"/>
      <c r="L55" s="12"/>
      <c r="M55" s="12"/>
    </row>
    <row r="56" customFormat="false" ht="22.35" hidden="false" customHeight="false" outlineLevel="0" collapsed="false">
      <c r="A56" s="15" t="s">
        <v>355</v>
      </c>
      <c r="B56" s="16" t="s">
        <v>343</v>
      </c>
      <c r="C56" s="16" t="s">
        <v>32</v>
      </c>
      <c r="D56" s="16" t="s">
        <v>356</v>
      </c>
      <c r="E56" s="17" t="s">
        <v>49</v>
      </c>
      <c r="F56" s="16" t="s">
        <v>357</v>
      </c>
      <c r="G56" s="16" t="s">
        <v>358</v>
      </c>
      <c r="H56" s="16" t="s">
        <v>359</v>
      </c>
      <c r="I56" s="16" t="s">
        <v>360</v>
      </c>
      <c r="J56" s="18" t="s">
        <v>47</v>
      </c>
      <c r="K56" s="16"/>
      <c r="L56" s="16"/>
      <c r="M56" s="16"/>
    </row>
    <row r="57" customFormat="false" ht="15" hidden="false" customHeight="false" outlineLevel="0" collapsed="false">
      <c r="A57" s="11" t="s">
        <v>361</v>
      </c>
      <c r="B57" s="12" t="s">
        <v>343</v>
      </c>
      <c r="C57" s="12" t="s">
        <v>32</v>
      </c>
      <c r="D57" s="12" t="s">
        <v>362</v>
      </c>
      <c r="E57" s="19" t="s">
        <v>55</v>
      </c>
      <c r="F57" s="12" t="s">
        <v>363</v>
      </c>
      <c r="G57" s="12" t="s">
        <v>364</v>
      </c>
      <c r="H57" s="12" t="s">
        <v>365</v>
      </c>
      <c r="I57" s="12" t="s">
        <v>366</v>
      </c>
      <c r="J57" s="14" t="s">
        <v>47</v>
      </c>
      <c r="K57" s="12"/>
      <c r="L57" s="12"/>
      <c r="M57" s="12"/>
    </row>
    <row r="58" customFormat="false" ht="22.35" hidden="false" customHeight="false" outlineLevel="0" collapsed="false">
      <c r="A58" s="15" t="s">
        <v>367</v>
      </c>
      <c r="B58" s="16" t="s">
        <v>343</v>
      </c>
      <c r="C58" s="16" t="s">
        <v>32</v>
      </c>
      <c r="D58" s="16" t="s">
        <v>368</v>
      </c>
      <c r="E58" s="17" t="s">
        <v>49</v>
      </c>
      <c r="F58" s="16" t="s">
        <v>369</v>
      </c>
      <c r="G58" s="16" t="s">
        <v>370</v>
      </c>
      <c r="H58" s="16" t="s">
        <v>371</v>
      </c>
      <c r="I58" s="16" t="s">
        <v>372</v>
      </c>
      <c r="J58" s="18" t="s">
        <v>47</v>
      </c>
      <c r="K58" s="16"/>
      <c r="L58" s="16"/>
      <c r="M58" s="16"/>
    </row>
    <row r="59" customFormat="false" ht="22.35" hidden="false" customHeight="false" outlineLevel="0" collapsed="false">
      <c r="A59" s="11" t="s">
        <v>373</v>
      </c>
      <c r="B59" s="12" t="s">
        <v>374</v>
      </c>
      <c r="C59" s="12" t="s">
        <v>182</v>
      </c>
      <c r="D59" s="12" t="s">
        <v>375</v>
      </c>
      <c r="E59" s="13" t="s">
        <v>34</v>
      </c>
      <c r="F59" s="12" t="s">
        <v>376</v>
      </c>
      <c r="G59" s="12" t="s">
        <v>377</v>
      </c>
      <c r="H59" s="12" t="s">
        <v>378</v>
      </c>
      <c r="I59" s="12" t="s">
        <v>379</v>
      </c>
      <c r="J59" s="14" t="s">
        <v>47</v>
      </c>
      <c r="K59" s="12"/>
      <c r="L59" s="12"/>
      <c r="M59" s="12"/>
    </row>
    <row r="60" customFormat="false" ht="22.35" hidden="false" customHeight="false" outlineLevel="0" collapsed="false">
      <c r="A60" s="15" t="s">
        <v>380</v>
      </c>
      <c r="B60" s="16" t="s">
        <v>374</v>
      </c>
      <c r="C60" s="16" t="s">
        <v>292</v>
      </c>
      <c r="D60" s="16" t="s">
        <v>381</v>
      </c>
      <c r="E60" s="17" t="s">
        <v>49</v>
      </c>
      <c r="F60" s="16" t="s">
        <v>382</v>
      </c>
      <c r="G60" s="16" t="s">
        <v>383</v>
      </c>
      <c r="H60" s="16" t="s">
        <v>384</v>
      </c>
      <c r="I60" s="16" t="s">
        <v>385</v>
      </c>
      <c r="J60" s="18" t="s">
        <v>47</v>
      </c>
      <c r="K60" s="16"/>
      <c r="L60" s="16"/>
      <c r="M60" s="16"/>
    </row>
    <row r="61" customFormat="false" ht="22.35" hidden="false" customHeight="false" outlineLevel="0" collapsed="false">
      <c r="A61" s="11" t="s">
        <v>386</v>
      </c>
      <c r="B61" s="12" t="s">
        <v>374</v>
      </c>
      <c r="C61" s="12" t="s">
        <v>182</v>
      </c>
      <c r="D61" s="12" t="s">
        <v>387</v>
      </c>
      <c r="E61" s="17" t="s">
        <v>49</v>
      </c>
      <c r="F61" s="12" t="s">
        <v>388</v>
      </c>
      <c r="G61" s="12" t="s">
        <v>389</v>
      </c>
      <c r="H61" s="12" t="s">
        <v>390</v>
      </c>
      <c r="I61" s="12" t="s">
        <v>391</v>
      </c>
      <c r="J61" s="14" t="s">
        <v>47</v>
      </c>
      <c r="K61" s="12"/>
      <c r="L61" s="12"/>
      <c r="M61" s="12"/>
    </row>
    <row r="62" customFormat="false" ht="22.35" hidden="false" customHeight="false" outlineLevel="0" collapsed="false">
      <c r="A62" s="15" t="s">
        <v>392</v>
      </c>
      <c r="B62" s="16" t="s">
        <v>374</v>
      </c>
      <c r="C62" s="16" t="s">
        <v>182</v>
      </c>
      <c r="D62" s="16" t="s">
        <v>194</v>
      </c>
      <c r="E62" s="17" t="s">
        <v>49</v>
      </c>
      <c r="F62" s="16" t="s">
        <v>393</v>
      </c>
      <c r="G62" s="16" t="s">
        <v>394</v>
      </c>
      <c r="H62" s="16" t="s">
        <v>395</v>
      </c>
      <c r="I62" s="16" t="s">
        <v>396</v>
      </c>
      <c r="J62" s="18" t="s">
        <v>47</v>
      </c>
      <c r="K62" s="16"/>
      <c r="L62" s="16"/>
      <c r="M62" s="16"/>
    </row>
    <row r="63" customFormat="false" ht="22.35" hidden="false" customHeight="false" outlineLevel="0" collapsed="false">
      <c r="A63" s="11" t="s">
        <v>397</v>
      </c>
      <c r="B63" s="12" t="s">
        <v>374</v>
      </c>
      <c r="C63" s="12" t="s">
        <v>182</v>
      </c>
      <c r="D63" s="12" t="s">
        <v>332</v>
      </c>
      <c r="E63" s="17" t="s">
        <v>49</v>
      </c>
      <c r="F63" s="12" t="s">
        <v>398</v>
      </c>
      <c r="G63" s="12" t="s">
        <v>399</v>
      </c>
      <c r="H63" s="12" t="s">
        <v>400</v>
      </c>
      <c r="I63" s="12" t="s">
        <v>401</v>
      </c>
      <c r="J63" s="14" t="s">
        <v>47</v>
      </c>
      <c r="K63" s="12"/>
      <c r="L63" s="12"/>
      <c r="M63" s="12"/>
    </row>
    <row r="64" customFormat="false" ht="22.35" hidden="false" customHeight="false" outlineLevel="0" collapsed="false">
      <c r="A64" s="15" t="s">
        <v>402</v>
      </c>
      <c r="B64" s="16" t="s">
        <v>374</v>
      </c>
      <c r="C64" s="16" t="s">
        <v>182</v>
      </c>
      <c r="D64" s="16" t="s">
        <v>200</v>
      </c>
      <c r="E64" s="17" t="s">
        <v>49</v>
      </c>
      <c r="F64" s="16" t="s">
        <v>403</v>
      </c>
      <c r="G64" s="16" t="s">
        <v>404</v>
      </c>
      <c r="H64" s="16" t="s">
        <v>405</v>
      </c>
      <c r="I64" s="16" t="s">
        <v>406</v>
      </c>
      <c r="J64" s="18" t="s">
        <v>47</v>
      </c>
      <c r="K64" s="16"/>
      <c r="L64" s="16"/>
      <c r="M64" s="16"/>
    </row>
    <row r="65" customFormat="false" ht="32.8" hidden="false" customHeight="false" outlineLevel="0" collapsed="false">
      <c r="A65" s="11" t="s">
        <v>407</v>
      </c>
      <c r="B65" s="12" t="s">
        <v>374</v>
      </c>
      <c r="C65" s="12" t="s">
        <v>182</v>
      </c>
      <c r="D65" s="12" t="s">
        <v>218</v>
      </c>
      <c r="E65" s="17" t="s">
        <v>49</v>
      </c>
      <c r="F65" s="12" t="s">
        <v>408</v>
      </c>
      <c r="G65" s="12" t="s">
        <v>409</v>
      </c>
      <c r="H65" s="12" t="s">
        <v>410</v>
      </c>
      <c r="I65" s="12" t="s">
        <v>411</v>
      </c>
      <c r="J65" s="14" t="s">
        <v>47</v>
      </c>
      <c r="K65" s="12"/>
      <c r="L65" s="12"/>
      <c r="M65" s="12"/>
    </row>
    <row r="66" customFormat="false" ht="22.35" hidden="false" customHeight="false" outlineLevel="0" collapsed="false">
      <c r="A66" s="15" t="s">
        <v>412</v>
      </c>
      <c r="B66" s="16" t="s">
        <v>374</v>
      </c>
      <c r="C66" s="16" t="s">
        <v>292</v>
      </c>
      <c r="D66" s="16" t="s">
        <v>413</v>
      </c>
      <c r="E66" s="13" t="s">
        <v>34</v>
      </c>
      <c r="F66" s="16" t="s">
        <v>414</v>
      </c>
      <c r="G66" s="16" t="s">
        <v>415</v>
      </c>
      <c r="H66" s="16" t="s">
        <v>416</v>
      </c>
      <c r="I66" s="16" t="s">
        <v>417</v>
      </c>
      <c r="J66" s="18" t="s">
        <v>47</v>
      </c>
      <c r="K66" s="16"/>
      <c r="L66" s="16"/>
      <c r="M66" s="16"/>
    </row>
    <row r="67" customFormat="false" ht="22.35" hidden="false" customHeight="false" outlineLevel="0" collapsed="false">
      <c r="A67" s="11" t="s">
        <v>418</v>
      </c>
      <c r="B67" s="12" t="s">
        <v>374</v>
      </c>
      <c r="C67" s="12" t="s">
        <v>182</v>
      </c>
      <c r="D67" s="12" t="s">
        <v>387</v>
      </c>
      <c r="E67" s="17" t="s">
        <v>49</v>
      </c>
      <c r="F67" s="12" t="s">
        <v>419</v>
      </c>
      <c r="G67" s="12" t="s">
        <v>420</v>
      </c>
      <c r="H67" s="12" t="s">
        <v>421</v>
      </c>
      <c r="I67" s="12" t="s">
        <v>422</v>
      </c>
      <c r="J67" s="14" t="s">
        <v>47</v>
      </c>
      <c r="K67" s="12"/>
      <c r="L67" s="12"/>
      <c r="M67" s="12"/>
    </row>
    <row r="68" customFormat="false" ht="22.35" hidden="false" customHeight="false" outlineLevel="0" collapsed="false">
      <c r="A68" s="15" t="s">
        <v>423</v>
      </c>
      <c r="B68" s="16" t="s">
        <v>374</v>
      </c>
      <c r="C68" s="16" t="s">
        <v>182</v>
      </c>
      <c r="D68" s="16" t="s">
        <v>424</v>
      </c>
      <c r="E68" s="17" t="s">
        <v>49</v>
      </c>
      <c r="F68" s="16" t="s">
        <v>425</v>
      </c>
      <c r="G68" s="16" t="s">
        <v>426</v>
      </c>
      <c r="H68" s="16" t="s">
        <v>427</v>
      </c>
      <c r="I68" s="16" t="s">
        <v>428</v>
      </c>
      <c r="J68" s="18" t="s">
        <v>47</v>
      </c>
      <c r="K68" s="16"/>
      <c r="L68" s="16"/>
      <c r="M68" s="16"/>
    </row>
    <row r="69" customFormat="false" ht="22.35" hidden="false" customHeight="false" outlineLevel="0" collapsed="false">
      <c r="A69" s="11" t="s">
        <v>429</v>
      </c>
      <c r="B69" s="12" t="s">
        <v>374</v>
      </c>
      <c r="C69" s="12" t="s">
        <v>292</v>
      </c>
      <c r="D69" s="12" t="s">
        <v>430</v>
      </c>
      <c r="E69" s="19" t="s">
        <v>55</v>
      </c>
      <c r="F69" s="12" t="s">
        <v>431</v>
      </c>
      <c r="G69" s="12" t="s">
        <v>432</v>
      </c>
      <c r="H69" s="12" t="s">
        <v>433</v>
      </c>
      <c r="I69" s="12" t="s">
        <v>434</v>
      </c>
      <c r="J69" s="14" t="s">
        <v>47</v>
      </c>
      <c r="K69" s="12"/>
      <c r="L69" s="12"/>
      <c r="M69" s="12"/>
    </row>
    <row r="70" customFormat="false" ht="32.8" hidden="false" customHeight="false" outlineLevel="0" collapsed="false">
      <c r="A70" s="15" t="s">
        <v>435</v>
      </c>
      <c r="B70" s="16" t="s">
        <v>436</v>
      </c>
      <c r="C70" s="16" t="s">
        <v>292</v>
      </c>
      <c r="D70" s="16" t="s">
        <v>437</v>
      </c>
      <c r="E70" s="13" t="s">
        <v>34</v>
      </c>
      <c r="F70" s="16" t="s">
        <v>438</v>
      </c>
      <c r="G70" s="16" t="s">
        <v>439</v>
      </c>
      <c r="H70" s="16" t="s">
        <v>440</v>
      </c>
      <c r="I70" s="16" t="s">
        <v>441</v>
      </c>
      <c r="J70" s="18" t="s">
        <v>47</v>
      </c>
      <c r="K70" s="16"/>
      <c r="L70" s="16"/>
      <c r="M70" s="16"/>
    </row>
    <row r="71" customFormat="false" ht="22.35" hidden="false" customHeight="false" outlineLevel="0" collapsed="false">
      <c r="A71" s="11" t="s">
        <v>442</v>
      </c>
      <c r="B71" s="12" t="s">
        <v>436</v>
      </c>
      <c r="C71" s="12" t="s">
        <v>292</v>
      </c>
      <c r="D71" s="12" t="s">
        <v>443</v>
      </c>
      <c r="E71" s="17" t="s">
        <v>49</v>
      </c>
      <c r="F71" s="12" t="s">
        <v>444</v>
      </c>
      <c r="G71" s="12" t="s">
        <v>445</v>
      </c>
      <c r="H71" s="12" t="s">
        <v>446</v>
      </c>
      <c r="I71" s="12" t="s">
        <v>447</v>
      </c>
      <c r="J71" s="14" t="s">
        <v>47</v>
      </c>
      <c r="K71" s="12"/>
      <c r="L71" s="12"/>
      <c r="M71" s="12"/>
    </row>
    <row r="72" customFormat="false" ht="22.35" hidden="false" customHeight="false" outlineLevel="0" collapsed="false">
      <c r="A72" s="15" t="s">
        <v>448</v>
      </c>
      <c r="B72" s="16" t="s">
        <v>436</v>
      </c>
      <c r="C72" s="16" t="s">
        <v>292</v>
      </c>
      <c r="D72" s="16" t="s">
        <v>449</v>
      </c>
      <c r="E72" s="19" t="s">
        <v>55</v>
      </c>
      <c r="F72" s="16" t="s">
        <v>450</v>
      </c>
      <c r="G72" s="16" t="s">
        <v>451</v>
      </c>
      <c r="H72" s="16" t="s">
        <v>452</v>
      </c>
      <c r="I72" s="16" t="s">
        <v>453</v>
      </c>
      <c r="J72" s="18" t="s">
        <v>47</v>
      </c>
      <c r="K72" s="16"/>
      <c r="L72" s="16"/>
      <c r="M72" s="16"/>
    </row>
    <row r="73" customFormat="false" ht="32.8" hidden="false" customHeight="false" outlineLevel="0" collapsed="false">
      <c r="A73" s="11" t="s">
        <v>454</v>
      </c>
      <c r="B73" s="12" t="s">
        <v>436</v>
      </c>
      <c r="C73" s="12" t="s">
        <v>182</v>
      </c>
      <c r="D73" s="12" t="s">
        <v>299</v>
      </c>
      <c r="E73" s="17" t="s">
        <v>49</v>
      </c>
      <c r="F73" s="12" t="s">
        <v>455</v>
      </c>
      <c r="G73" s="12" t="s">
        <v>456</v>
      </c>
      <c r="H73" s="12" t="s">
        <v>457</v>
      </c>
      <c r="I73" s="12" t="s">
        <v>458</v>
      </c>
      <c r="J73" s="14" t="s">
        <v>47</v>
      </c>
      <c r="K73" s="12"/>
      <c r="L73" s="12"/>
      <c r="M73" s="12"/>
    </row>
    <row r="74" customFormat="false" ht="22.35" hidden="false" customHeight="false" outlineLevel="0" collapsed="false">
      <c r="A74" s="15" t="s">
        <v>459</v>
      </c>
      <c r="B74" s="16" t="s">
        <v>436</v>
      </c>
      <c r="C74" s="16" t="s">
        <v>182</v>
      </c>
      <c r="D74" s="16" t="s">
        <v>183</v>
      </c>
      <c r="E74" s="17" t="s">
        <v>49</v>
      </c>
      <c r="F74" s="16" t="s">
        <v>460</v>
      </c>
      <c r="G74" s="16" t="s">
        <v>461</v>
      </c>
      <c r="H74" s="16" t="s">
        <v>462</v>
      </c>
      <c r="I74" s="16" t="s">
        <v>463</v>
      </c>
      <c r="J74" s="18" t="s">
        <v>47</v>
      </c>
      <c r="K74" s="16"/>
      <c r="L74" s="16"/>
      <c r="M74" s="16"/>
    </row>
    <row r="75" customFormat="false" ht="22.35" hidden="false" customHeight="false" outlineLevel="0" collapsed="false">
      <c r="A75" s="11" t="s">
        <v>464</v>
      </c>
      <c r="B75" s="12" t="s">
        <v>436</v>
      </c>
      <c r="C75" s="12" t="s">
        <v>182</v>
      </c>
      <c r="D75" s="12" t="s">
        <v>465</v>
      </c>
      <c r="E75" s="13" t="s">
        <v>34</v>
      </c>
      <c r="F75" s="12" t="s">
        <v>466</v>
      </c>
      <c r="G75" s="12" t="s">
        <v>467</v>
      </c>
      <c r="H75" s="12" t="s">
        <v>468</v>
      </c>
      <c r="I75" s="12" t="s">
        <v>469</v>
      </c>
      <c r="J75" s="14" t="s">
        <v>47</v>
      </c>
      <c r="K75" s="12"/>
      <c r="L75" s="12"/>
      <c r="M75" s="12"/>
    </row>
    <row r="76" customFormat="false" ht="32.8" hidden="false" customHeight="false" outlineLevel="0" collapsed="false">
      <c r="A76" s="15" t="s">
        <v>470</v>
      </c>
      <c r="B76" s="16" t="s">
        <v>436</v>
      </c>
      <c r="C76" s="16" t="s">
        <v>182</v>
      </c>
      <c r="D76" s="16" t="s">
        <v>471</v>
      </c>
      <c r="E76" s="17" t="s">
        <v>49</v>
      </c>
      <c r="F76" s="16" t="s">
        <v>472</v>
      </c>
      <c r="G76" s="16" t="s">
        <v>473</v>
      </c>
      <c r="H76" s="16" t="s">
        <v>474</v>
      </c>
      <c r="I76" s="16" t="s">
        <v>475</v>
      </c>
      <c r="J76" s="18" t="s">
        <v>47</v>
      </c>
      <c r="K76" s="16"/>
      <c r="L76" s="16"/>
      <c r="M76" s="16"/>
    </row>
    <row r="77" customFormat="false" ht="32.8" hidden="false" customHeight="false" outlineLevel="0" collapsed="false">
      <c r="A77" s="11" t="s">
        <v>476</v>
      </c>
      <c r="B77" s="12" t="s">
        <v>436</v>
      </c>
      <c r="C77" s="12" t="s">
        <v>182</v>
      </c>
      <c r="D77" s="12" t="s">
        <v>477</v>
      </c>
      <c r="E77" s="17" t="s">
        <v>49</v>
      </c>
      <c r="F77" s="12" t="s">
        <v>478</v>
      </c>
      <c r="G77" s="12" t="s">
        <v>479</v>
      </c>
      <c r="H77" s="12" t="s">
        <v>480</v>
      </c>
      <c r="I77" s="12" t="s">
        <v>481</v>
      </c>
      <c r="J77" s="14" t="s">
        <v>47</v>
      </c>
      <c r="K77" s="12"/>
      <c r="L77" s="12"/>
      <c r="M77" s="12"/>
    </row>
    <row r="78" customFormat="false" ht="22.35" hidden="false" customHeight="false" outlineLevel="0" collapsed="false">
      <c r="A78" s="15" t="s">
        <v>482</v>
      </c>
      <c r="B78" s="16" t="s">
        <v>436</v>
      </c>
      <c r="C78" s="16" t="s">
        <v>292</v>
      </c>
      <c r="D78" s="16" t="s">
        <v>483</v>
      </c>
      <c r="E78" s="19" t="s">
        <v>55</v>
      </c>
      <c r="F78" s="16" t="s">
        <v>484</v>
      </c>
      <c r="G78" s="16" t="s">
        <v>485</v>
      </c>
      <c r="H78" s="16" t="s">
        <v>486</v>
      </c>
      <c r="I78" s="16" t="s">
        <v>487</v>
      </c>
      <c r="J78" s="18" t="s">
        <v>47</v>
      </c>
      <c r="K78" s="16"/>
      <c r="L78" s="16"/>
      <c r="M78" s="16"/>
    </row>
    <row r="79" customFormat="false" ht="22.35" hidden="false" customHeight="false" outlineLevel="0" collapsed="false">
      <c r="A79" s="11" t="s">
        <v>488</v>
      </c>
      <c r="B79" s="12" t="s">
        <v>489</v>
      </c>
      <c r="C79" s="12" t="s">
        <v>152</v>
      </c>
      <c r="D79" s="12" t="s">
        <v>490</v>
      </c>
      <c r="E79" s="19" t="s">
        <v>55</v>
      </c>
      <c r="F79" s="12" t="s">
        <v>491</v>
      </c>
      <c r="G79" s="12" t="s">
        <v>492</v>
      </c>
      <c r="H79" s="12" t="s">
        <v>493</v>
      </c>
      <c r="I79" s="12" t="s">
        <v>494</v>
      </c>
      <c r="J79" s="14" t="s">
        <v>47</v>
      </c>
      <c r="K79" s="12"/>
      <c r="L79" s="12"/>
      <c r="M79" s="12"/>
    </row>
    <row r="80" customFormat="false" ht="22.35" hidden="false" customHeight="false" outlineLevel="0" collapsed="false">
      <c r="A80" s="15" t="s">
        <v>495</v>
      </c>
      <c r="B80" s="16" t="s">
        <v>489</v>
      </c>
      <c r="C80" s="16" t="s">
        <v>152</v>
      </c>
      <c r="D80" s="16" t="s">
        <v>496</v>
      </c>
      <c r="E80" s="17" t="s">
        <v>49</v>
      </c>
      <c r="F80" s="16" t="s">
        <v>497</v>
      </c>
      <c r="G80" s="16" t="s">
        <v>498</v>
      </c>
      <c r="H80" s="16" t="s">
        <v>499</v>
      </c>
      <c r="I80" s="16" t="s">
        <v>500</v>
      </c>
      <c r="J80" s="18" t="s">
        <v>47</v>
      </c>
      <c r="K80" s="16"/>
      <c r="L80" s="16"/>
      <c r="M80" s="16"/>
    </row>
    <row r="81" customFormat="false" ht="22.35" hidden="false" customHeight="false" outlineLevel="0" collapsed="false">
      <c r="A81" s="11" t="s">
        <v>501</v>
      </c>
      <c r="B81" s="12" t="s">
        <v>489</v>
      </c>
      <c r="C81" s="12" t="s">
        <v>152</v>
      </c>
      <c r="D81" s="12" t="s">
        <v>502</v>
      </c>
      <c r="E81" s="19" t="s">
        <v>55</v>
      </c>
      <c r="F81" s="12" t="s">
        <v>503</v>
      </c>
      <c r="G81" s="12" t="s">
        <v>504</v>
      </c>
      <c r="H81" s="12" t="s">
        <v>505</v>
      </c>
      <c r="I81" s="12" t="s">
        <v>506</v>
      </c>
      <c r="J81" s="14" t="s">
        <v>47</v>
      </c>
      <c r="K81" s="12"/>
      <c r="L81" s="12"/>
      <c r="M81" s="12"/>
    </row>
    <row r="82" customFormat="false" ht="22.35" hidden="false" customHeight="false" outlineLevel="0" collapsed="false">
      <c r="A82" s="15" t="s">
        <v>507</v>
      </c>
      <c r="B82" s="16" t="s">
        <v>489</v>
      </c>
      <c r="C82" s="16" t="s">
        <v>152</v>
      </c>
      <c r="D82" s="16" t="s">
        <v>508</v>
      </c>
      <c r="E82" s="19" t="s">
        <v>55</v>
      </c>
      <c r="F82" s="16" t="s">
        <v>509</v>
      </c>
      <c r="G82" s="16" t="s">
        <v>504</v>
      </c>
      <c r="H82" s="16" t="s">
        <v>510</v>
      </c>
      <c r="I82" s="16" t="s">
        <v>511</v>
      </c>
      <c r="J82" s="18" t="s">
        <v>47</v>
      </c>
      <c r="K82" s="16"/>
      <c r="L82" s="16"/>
      <c r="M82" s="16"/>
    </row>
    <row r="83" customFormat="false" ht="22.35" hidden="false" customHeight="false" outlineLevel="0" collapsed="false">
      <c r="A83" s="11" t="s">
        <v>512</v>
      </c>
      <c r="B83" s="12" t="s">
        <v>513</v>
      </c>
      <c r="C83" s="12" t="s">
        <v>32</v>
      </c>
      <c r="D83" s="12" t="s">
        <v>356</v>
      </c>
      <c r="E83" s="17" t="s">
        <v>49</v>
      </c>
      <c r="F83" s="12" t="s">
        <v>514</v>
      </c>
      <c r="G83" s="12" t="s">
        <v>515</v>
      </c>
      <c r="H83" s="12" t="s">
        <v>516</v>
      </c>
      <c r="I83" s="12" t="s">
        <v>517</v>
      </c>
      <c r="J83" s="14" t="s">
        <v>47</v>
      </c>
      <c r="K83" s="12"/>
      <c r="L83" s="12"/>
      <c r="M83" s="12"/>
    </row>
    <row r="84" customFormat="false" ht="32.8" hidden="false" customHeight="false" outlineLevel="0" collapsed="false">
      <c r="A84" s="15" t="s">
        <v>518</v>
      </c>
      <c r="B84" s="16" t="s">
        <v>513</v>
      </c>
      <c r="C84" s="16" t="s">
        <v>32</v>
      </c>
      <c r="D84" s="16" t="s">
        <v>356</v>
      </c>
      <c r="E84" s="17" t="s">
        <v>49</v>
      </c>
      <c r="F84" s="16" t="s">
        <v>519</v>
      </c>
      <c r="G84" s="16" t="s">
        <v>520</v>
      </c>
      <c r="H84" s="16" t="s">
        <v>521</v>
      </c>
      <c r="I84" s="16" t="s">
        <v>522</v>
      </c>
      <c r="J84" s="18" t="s">
        <v>47</v>
      </c>
      <c r="K84" s="16"/>
      <c r="L84" s="16"/>
      <c r="M84" s="16"/>
    </row>
    <row r="85" customFormat="false" ht="15" hidden="false" customHeight="false" outlineLevel="0" collapsed="false">
      <c r="A85" s="11" t="s">
        <v>523</v>
      </c>
      <c r="B85" s="12" t="s">
        <v>513</v>
      </c>
      <c r="C85" s="12" t="s">
        <v>32</v>
      </c>
      <c r="D85" s="12" t="s">
        <v>477</v>
      </c>
      <c r="E85" s="17" t="s">
        <v>49</v>
      </c>
      <c r="F85" s="12" t="s">
        <v>524</v>
      </c>
      <c r="G85" s="12" t="s">
        <v>525</v>
      </c>
      <c r="H85" s="12" t="s">
        <v>526</v>
      </c>
      <c r="I85" s="12" t="s">
        <v>527</v>
      </c>
      <c r="J85" s="14" t="s">
        <v>47</v>
      </c>
      <c r="K85" s="12"/>
      <c r="L85" s="12"/>
      <c r="M85" s="12"/>
    </row>
    <row r="86" customFormat="false" ht="22.35" hidden="false" customHeight="false" outlineLevel="0" collapsed="false">
      <c r="A86" s="15" t="s">
        <v>528</v>
      </c>
      <c r="B86" s="16" t="s">
        <v>513</v>
      </c>
      <c r="C86" s="16" t="s">
        <v>32</v>
      </c>
      <c r="D86" s="16" t="s">
        <v>350</v>
      </c>
      <c r="E86" s="17" t="s">
        <v>49</v>
      </c>
      <c r="F86" s="16" t="s">
        <v>529</v>
      </c>
      <c r="G86" s="16" t="s">
        <v>530</v>
      </c>
      <c r="H86" s="16" t="s">
        <v>531</v>
      </c>
      <c r="I86" s="16" t="s">
        <v>532</v>
      </c>
      <c r="J86" s="18" t="s">
        <v>47</v>
      </c>
      <c r="K86" s="16"/>
      <c r="L86" s="16"/>
      <c r="M86" s="16"/>
    </row>
    <row r="87" customFormat="false" ht="22.35" hidden="false" customHeight="false" outlineLevel="0" collapsed="false">
      <c r="A87" s="11" t="s">
        <v>533</v>
      </c>
      <c r="B87" s="12" t="s">
        <v>513</v>
      </c>
      <c r="C87" s="12" t="s">
        <v>32</v>
      </c>
      <c r="D87" s="12" t="s">
        <v>534</v>
      </c>
      <c r="E87" s="17" t="s">
        <v>49</v>
      </c>
      <c r="F87" s="12" t="s">
        <v>535</v>
      </c>
      <c r="G87" s="12" t="s">
        <v>101</v>
      </c>
      <c r="H87" s="12" t="s">
        <v>536</v>
      </c>
      <c r="I87" s="12" t="s">
        <v>537</v>
      </c>
      <c r="J87" s="14" t="s">
        <v>47</v>
      </c>
      <c r="K87" s="12"/>
      <c r="L87" s="12"/>
      <c r="M87" s="12"/>
    </row>
    <row r="88" customFormat="false" ht="22.35" hidden="false" customHeight="false" outlineLevel="0" collapsed="false">
      <c r="A88" s="15" t="s">
        <v>538</v>
      </c>
      <c r="B88" s="16" t="s">
        <v>513</v>
      </c>
      <c r="C88" s="16" t="s">
        <v>182</v>
      </c>
      <c r="D88" s="16" t="s">
        <v>539</v>
      </c>
      <c r="E88" s="17" t="s">
        <v>49</v>
      </c>
      <c r="F88" s="16" t="s">
        <v>540</v>
      </c>
      <c r="G88" s="16" t="s">
        <v>541</v>
      </c>
      <c r="H88" s="16" t="s">
        <v>542</v>
      </c>
      <c r="I88" s="16" t="s">
        <v>543</v>
      </c>
      <c r="J88" s="18" t="s">
        <v>47</v>
      </c>
      <c r="K88" s="16"/>
      <c r="L88" s="16"/>
      <c r="M88" s="16"/>
    </row>
    <row r="89" customFormat="false" ht="22.35" hidden="false" customHeight="false" outlineLevel="0" collapsed="false">
      <c r="A89" s="11" t="s">
        <v>544</v>
      </c>
      <c r="B89" s="12" t="s">
        <v>513</v>
      </c>
      <c r="C89" s="12" t="s">
        <v>182</v>
      </c>
      <c r="D89" s="12" t="s">
        <v>545</v>
      </c>
      <c r="E89" s="17" t="s">
        <v>49</v>
      </c>
      <c r="F89" s="12" t="s">
        <v>546</v>
      </c>
      <c r="G89" s="12" t="s">
        <v>547</v>
      </c>
      <c r="H89" s="12" t="s">
        <v>548</v>
      </c>
      <c r="I89" s="12" t="s">
        <v>549</v>
      </c>
      <c r="J89" s="14" t="s">
        <v>47</v>
      </c>
      <c r="K89" s="12"/>
      <c r="L89" s="12"/>
      <c r="M89" s="12"/>
    </row>
    <row r="90" customFormat="false" ht="22.35" hidden="false" customHeight="false" outlineLevel="0" collapsed="false">
      <c r="A90" s="15" t="s">
        <v>550</v>
      </c>
      <c r="B90" s="16" t="s">
        <v>513</v>
      </c>
      <c r="C90" s="16" t="s">
        <v>182</v>
      </c>
      <c r="D90" s="16" t="s">
        <v>212</v>
      </c>
      <c r="E90" s="19" t="s">
        <v>55</v>
      </c>
      <c r="F90" s="16" t="s">
        <v>551</v>
      </c>
      <c r="G90" s="16" t="s">
        <v>552</v>
      </c>
      <c r="H90" s="16" t="s">
        <v>553</v>
      </c>
      <c r="I90" s="16" t="s">
        <v>554</v>
      </c>
      <c r="J90" s="18" t="s">
        <v>47</v>
      </c>
      <c r="K90" s="16"/>
      <c r="L90" s="16"/>
      <c r="M90" s="16"/>
    </row>
  </sheetData>
  <autoFilter ref="A2:M90"/>
  <mergeCells count="1">
    <mergeCell ref="A1:M1"/>
  </mergeCells>
  <conditionalFormatting sqref="J3:J90">
    <cfRule type="cellIs" priority="2" operator="equal" aboveAverage="0" equalAverage="0" bottom="0" percent="0" rank="0" text="" dxfId="12">
      <formula>"Pass"</formula>
    </cfRule>
    <cfRule type="cellIs" priority="3" operator="equal" aboveAverage="0" equalAverage="0" bottom="0" percent="0" rank="0" text="" dxfId="13">
      <formula>"Fail"</formula>
    </cfRule>
    <cfRule type="cellIs" priority="4" operator="equal" aboveAverage="0" equalAverage="0" bottom="0" percent="0" rank="0" text="" dxfId="14">
      <formula>"Blocked"</formula>
    </cfRule>
  </conditionalFormatting>
  <dataValidations count="1">
    <dataValidation allowBlank="true" error="Pick Pass, Fail, Blocked or Not run" errorStyle="stop" operator="between" prompt="Select the outcome" showDropDown="false" showErrorMessage="false" showInputMessage="false" sqref="J3:J90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5" min="3" style="0" width="9"/>
    <col collapsed="false" customWidth="true" hidden="false" outlineLevel="0" max="8" min="6" style="0" width="10"/>
  </cols>
  <sheetData>
    <row r="2" customFormat="false" ht="22.05" hidden="false" customHeight="false" outlineLevel="0" collapsed="false">
      <c r="B2" s="20" t="s">
        <v>555</v>
      </c>
    </row>
    <row r="3" customFormat="false" ht="15" hidden="false" customHeight="false" outlineLevel="0" collapsed="false">
      <c r="B3" s="3" t="s">
        <v>556</v>
      </c>
    </row>
    <row r="5" customFormat="false" ht="15" hidden="false" customHeight="false" outlineLevel="0" collapsed="false">
      <c r="B5" s="21" t="s">
        <v>18</v>
      </c>
      <c r="C5" s="21" t="s">
        <v>557</v>
      </c>
      <c r="D5" s="21" t="s">
        <v>37</v>
      </c>
      <c r="E5" s="21" t="s">
        <v>558</v>
      </c>
      <c r="F5" s="21" t="s">
        <v>559</v>
      </c>
      <c r="G5" s="21" t="s">
        <v>47</v>
      </c>
      <c r="H5" s="21" t="s">
        <v>560</v>
      </c>
    </row>
    <row r="6" customFormat="false" ht="15" hidden="false" customHeight="false" outlineLevel="0" collapsed="false">
      <c r="B6" s="22" t="s">
        <v>561</v>
      </c>
      <c r="C6" s="23" t="n">
        <f aca="false">COUNTIF('Test Cases'!$A$3:$A$90,"S1-*")</f>
        <v>13</v>
      </c>
      <c r="D6" s="23" t="n">
        <f aca="false">COUNTIFS('Test Cases'!$A$3:$A$90,"S1-*",'Test Cases'!$J$3:$J$90,"Pass")</f>
        <v>0</v>
      </c>
      <c r="E6" s="23" t="n">
        <f aca="false">COUNTIFS('Test Cases'!$A$3:$A$90,"S1-*",'Test Cases'!$J$3:$J$90,"Fail")</f>
        <v>0</v>
      </c>
      <c r="F6" s="23" t="n">
        <f aca="false">COUNTIFS('Test Cases'!$A$3:$A$90,"S1-*",'Test Cases'!$J$3:$J$90,"Blocked")</f>
        <v>0</v>
      </c>
      <c r="G6" s="23" t="n">
        <f aca="false">COUNTIFS('Test Cases'!$A$3:$A$90,"S1-*",'Test Cases'!$J$3:$J$90,"Not run")</f>
        <v>13</v>
      </c>
      <c r="H6" s="24" t="n">
        <f aca="false">IFERROR(D6/C6,0)</f>
        <v>0</v>
      </c>
    </row>
    <row r="7" customFormat="false" ht="15" hidden="false" customHeight="false" outlineLevel="0" collapsed="false">
      <c r="B7" s="25" t="s">
        <v>562</v>
      </c>
      <c r="C7" s="26" t="n">
        <f aca="false">COUNTIF('Test Cases'!$A$3:$A$90,"S2-*")</f>
        <v>11</v>
      </c>
      <c r="D7" s="26" t="n">
        <f aca="false">COUNTIFS('Test Cases'!$A$3:$A$90,"S2-*",'Test Cases'!$J$3:$J$90,"Pass")</f>
        <v>0</v>
      </c>
      <c r="E7" s="26" t="n">
        <f aca="false">COUNTIFS('Test Cases'!$A$3:$A$90,"S2-*",'Test Cases'!$J$3:$J$90,"Fail")</f>
        <v>0</v>
      </c>
      <c r="F7" s="26" t="n">
        <f aca="false">COUNTIFS('Test Cases'!$A$3:$A$90,"S2-*",'Test Cases'!$J$3:$J$90,"Blocked")</f>
        <v>0</v>
      </c>
      <c r="G7" s="26" t="n">
        <f aca="false">COUNTIFS('Test Cases'!$A$3:$A$90,"S2-*",'Test Cases'!$J$3:$J$90,"Not run")</f>
        <v>11</v>
      </c>
      <c r="H7" s="27" t="n">
        <f aca="false">IFERROR(D7/C7,0)</f>
        <v>0</v>
      </c>
    </row>
    <row r="8" customFormat="false" ht="15" hidden="false" customHeight="false" outlineLevel="0" collapsed="false">
      <c r="B8" s="22" t="s">
        <v>563</v>
      </c>
      <c r="C8" s="23" t="n">
        <f aca="false">COUNTIF('Test Cases'!$A$3:$A$90,"S3-*")</f>
        <v>11</v>
      </c>
      <c r="D8" s="23" t="n">
        <f aca="false">COUNTIFS('Test Cases'!$A$3:$A$90,"S3-*",'Test Cases'!$J$3:$J$90,"Pass")</f>
        <v>0</v>
      </c>
      <c r="E8" s="23" t="n">
        <f aca="false">COUNTIFS('Test Cases'!$A$3:$A$90,"S3-*",'Test Cases'!$J$3:$J$90,"Fail")</f>
        <v>0</v>
      </c>
      <c r="F8" s="23" t="n">
        <f aca="false">COUNTIFS('Test Cases'!$A$3:$A$90,"S3-*",'Test Cases'!$J$3:$J$90,"Blocked")</f>
        <v>0</v>
      </c>
      <c r="G8" s="23" t="n">
        <f aca="false">COUNTIFS('Test Cases'!$A$3:$A$90,"S3-*",'Test Cases'!$J$3:$J$90,"Not run")</f>
        <v>11</v>
      </c>
      <c r="H8" s="24" t="n">
        <f aca="false">IFERROR(D8/C8,0)</f>
        <v>0</v>
      </c>
    </row>
    <row r="9" customFormat="false" ht="15" hidden="false" customHeight="false" outlineLevel="0" collapsed="false">
      <c r="B9" s="25" t="s">
        <v>564</v>
      </c>
      <c r="C9" s="26" t="n">
        <f aca="false">COUNTIF('Test Cases'!$A$3:$A$90,"S4-*")</f>
        <v>6</v>
      </c>
      <c r="D9" s="26" t="n">
        <f aca="false">COUNTIFS('Test Cases'!$A$3:$A$90,"S4-*",'Test Cases'!$J$3:$J$90,"Pass")</f>
        <v>0</v>
      </c>
      <c r="E9" s="26" t="n">
        <f aca="false">COUNTIFS('Test Cases'!$A$3:$A$90,"S4-*",'Test Cases'!$J$3:$J$90,"Fail")</f>
        <v>0</v>
      </c>
      <c r="F9" s="26" t="n">
        <f aca="false">COUNTIFS('Test Cases'!$A$3:$A$90,"S4-*",'Test Cases'!$J$3:$J$90,"Blocked")</f>
        <v>0</v>
      </c>
      <c r="G9" s="26" t="n">
        <f aca="false">COUNTIFS('Test Cases'!$A$3:$A$90,"S4-*",'Test Cases'!$J$3:$J$90,"Not run")</f>
        <v>6</v>
      </c>
      <c r="H9" s="27" t="n">
        <f aca="false">IFERROR(D9/C9,0)</f>
        <v>0</v>
      </c>
    </row>
    <row r="10" customFormat="false" ht="15" hidden="false" customHeight="false" outlineLevel="0" collapsed="false">
      <c r="B10" s="22" t="s">
        <v>565</v>
      </c>
      <c r="C10" s="23" t="n">
        <f aca="false">COUNTIF('Test Cases'!$A$3:$A$90,"S5-*")</f>
        <v>10</v>
      </c>
      <c r="D10" s="23" t="n">
        <f aca="false">COUNTIFS('Test Cases'!$A$3:$A$90,"S5-*",'Test Cases'!$J$3:$J$90,"Pass")</f>
        <v>0</v>
      </c>
      <c r="E10" s="23" t="n">
        <f aca="false">COUNTIFS('Test Cases'!$A$3:$A$90,"S5-*",'Test Cases'!$J$3:$J$90,"Fail")</f>
        <v>0</v>
      </c>
      <c r="F10" s="23" t="n">
        <f aca="false">COUNTIFS('Test Cases'!$A$3:$A$90,"S5-*",'Test Cases'!$J$3:$J$90,"Blocked")</f>
        <v>0</v>
      </c>
      <c r="G10" s="23" t="n">
        <f aca="false">COUNTIFS('Test Cases'!$A$3:$A$90,"S5-*",'Test Cases'!$J$3:$J$90,"Not run")</f>
        <v>10</v>
      </c>
      <c r="H10" s="24" t="n">
        <f aca="false">IFERROR(D10/C10,0)</f>
        <v>0</v>
      </c>
    </row>
    <row r="11" customFormat="false" ht="15" hidden="false" customHeight="false" outlineLevel="0" collapsed="false">
      <c r="B11" s="25" t="s">
        <v>566</v>
      </c>
      <c r="C11" s="26" t="n">
        <f aca="false">COUNTIF('Test Cases'!$A$3:$A$90,"S6-*")</f>
        <v>5</v>
      </c>
      <c r="D11" s="26" t="n">
        <f aca="false">COUNTIFS('Test Cases'!$A$3:$A$90,"S6-*",'Test Cases'!$J$3:$J$90,"Pass")</f>
        <v>0</v>
      </c>
      <c r="E11" s="26" t="n">
        <f aca="false">COUNTIFS('Test Cases'!$A$3:$A$90,"S6-*",'Test Cases'!$J$3:$J$90,"Fail")</f>
        <v>0</v>
      </c>
      <c r="F11" s="26" t="n">
        <f aca="false">COUNTIFS('Test Cases'!$A$3:$A$90,"S6-*",'Test Cases'!$J$3:$J$90,"Blocked")</f>
        <v>0</v>
      </c>
      <c r="G11" s="26" t="n">
        <f aca="false">COUNTIFS('Test Cases'!$A$3:$A$90,"S6-*",'Test Cases'!$J$3:$J$90,"Not run")</f>
        <v>5</v>
      </c>
      <c r="H11" s="27" t="n">
        <f aca="false">IFERROR(D11/C11,0)</f>
        <v>0</v>
      </c>
    </row>
    <row r="12" customFormat="false" ht="15" hidden="false" customHeight="false" outlineLevel="0" collapsed="false">
      <c r="B12" s="22" t="s">
        <v>567</v>
      </c>
      <c r="C12" s="23" t="n">
        <f aca="false">COUNTIF('Test Cases'!$A$3:$A$90,"S7-*")</f>
        <v>11</v>
      </c>
      <c r="D12" s="23" t="n">
        <f aca="false">COUNTIFS('Test Cases'!$A$3:$A$90,"S7-*",'Test Cases'!$J$3:$J$90,"Pass")</f>
        <v>0</v>
      </c>
      <c r="E12" s="23" t="n">
        <f aca="false">COUNTIFS('Test Cases'!$A$3:$A$90,"S7-*",'Test Cases'!$J$3:$J$90,"Fail")</f>
        <v>0</v>
      </c>
      <c r="F12" s="23" t="n">
        <f aca="false">COUNTIFS('Test Cases'!$A$3:$A$90,"S7-*",'Test Cases'!$J$3:$J$90,"Blocked")</f>
        <v>0</v>
      </c>
      <c r="G12" s="23" t="n">
        <f aca="false">COUNTIFS('Test Cases'!$A$3:$A$90,"S7-*",'Test Cases'!$J$3:$J$90,"Not run")</f>
        <v>11</v>
      </c>
      <c r="H12" s="24" t="n">
        <f aca="false">IFERROR(D12/C12,0)</f>
        <v>0</v>
      </c>
    </row>
    <row r="13" customFormat="false" ht="15" hidden="false" customHeight="false" outlineLevel="0" collapsed="false">
      <c r="B13" s="25" t="s">
        <v>568</v>
      </c>
      <c r="C13" s="26" t="n">
        <f aca="false">COUNTIF('Test Cases'!$A$3:$A$90,"S8-*")</f>
        <v>9</v>
      </c>
      <c r="D13" s="26" t="n">
        <f aca="false">COUNTIFS('Test Cases'!$A$3:$A$90,"S8-*",'Test Cases'!$J$3:$J$90,"Pass")</f>
        <v>0</v>
      </c>
      <c r="E13" s="26" t="n">
        <f aca="false">COUNTIFS('Test Cases'!$A$3:$A$90,"S8-*",'Test Cases'!$J$3:$J$90,"Fail")</f>
        <v>0</v>
      </c>
      <c r="F13" s="26" t="n">
        <f aca="false">COUNTIFS('Test Cases'!$A$3:$A$90,"S8-*",'Test Cases'!$J$3:$J$90,"Blocked")</f>
        <v>0</v>
      </c>
      <c r="G13" s="26" t="n">
        <f aca="false">COUNTIFS('Test Cases'!$A$3:$A$90,"S8-*",'Test Cases'!$J$3:$J$90,"Not run")</f>
        <v>9</v>
      </c>
      <c r="H13" s="27" t="n">
        <f aca="false">IFERROR(D13/C13,0)</f>
        <v>0</v>
      </c>
    </row>
    <row r="14" customFormat="false" ht="15" hidden="false" customHeight="false" outlineLevel="0" collapsed="false">
      <c r="B14" s="22" t="s">
        <v>569</v>
      </c>
      <c r="C14" s="23" t="n">
        <f aca="false">COUNTIF('Test Cases'!$A$3:$A$90,"S9-*")</f>
        <v>4</v>
      </c>
      <c r="D14" s="23" t="n">
        <f aca="false">COUNTIFS('Test Cases'!$A$3:$A$90,"S9-*",'Test Cases'!$J$3:$J$90,"Pass")</f>
        <v>0</v>
      </c>
      <c r="E14" s="23" t="n">
        <f aca="false">COUNTIFS('Test Cases'!$A$3:$A$90,"S9-*",'Test Cases'!$J$3:$J$90,"Fail")</f>
        <v>0</v>
      </c>
      <c r="F14" s="23" t="n">
        <f aca="false">COUNTIFS('Test Cases'!$A$3:$A$90,"S9-*",'Test Cases'!$J$3:$J$90,"Blocked")</f>
        <v>0</v>
      </c>
      <c r="G14" s="23" t="n">
        <f aca="false">COUNTIFS('Test Cases'!$A$3:$A$90,"S9-*",'Test Cases'!$J$3:$J$90,"Not run")</f>
        <v>4</v>
      </c>
      <c r="H14" s="24" t="n">
        <f aca="false">IFERROR(D14/C14,0)</f>
        <v>0</v>
      </c>
    </row>
    <row r="15" customFormat="false" ht="15" hidden="false" customHeight="false" outlineLevel="0" collapsed="false">
      <c r="B15" s="25" t="s">
        <v>570</v>
      </c>
      <c r="C15" s="26" t="n">
        <f aca="false">COUNTIF('Test Cases'!$A$3:$A$90,"S10-*")</f>
        <v>8</v>
      </c>
      <c r="D15" s="26" t="n">
        <f aca="false">COUNTIFS('Test Cases'!$A$3:$A$90,"S10-*",'Test Cases'!$J$3:$J$90,"Pass")</f>
        <v>0</v>
      </c>
      <c r="E15" s="26" t="n">
        <f aca="false">COUNTIFS('Test Cases'!$A$3:$A$90,"S10-*",'Test Cases'!$J$3:$J$90,"Fail")</f>
        <v>0</v>
      </c>
      <c r="F15" s="26" t="n">
        <f aca="false">COUNTIFS('Test Cases'!$A$3:$A$90,"S10-*",'Test Cases'!$J$3:$J$90,"Blocked")</f>
        <v>0</v>
      </c>
      <c r="G15" s="26" t="n">
        <f aca="false">COUNTIFS('Test Cases'!$A$3:$A$90,"S10-*",'Test Cases'!$J$3:$J$90,"Not run")</f>
        <v>8</v>
      </c>
      <c r="H15" s="27" t="n">
        <f aca="false">IFERROR(D15/C15,0)</f>
        <v>0</v>
      </c>
    </row>
    <row r="16" customFormat="false" ht="15" hidden="false" customHeight="false" outlineLevel="0" collapsed="false">
      <c r="B16" s="28" t="s">
        <v>571</v>
      </c>
      <c r="C16" s="29" t="n">
        <f aca="false">SUM(C6:C15)</f>
        <v>88</v>
      </c>
      <c r="D16" s="29" t="n">
        <f aca="false">SUM(D6:D15)</f>
        <v>0</v>
      </c>
      <c r="E16" s="29" t="n">
        <f aca="false">SUM(E6:E15)</f>
        <v>0</v>
      </c>
      <c r="F16" s="29" t="n">
        <f aca="false">SUM(F6:F15)</f>
        <v>0</v>
      </c>
      <c r="G16" s="29" t="n">
        <f aca="false">SUM(G6:G15)</f>
        <v>88</v>
      </c>
      <c r="H16" s="30" t="n">
        <f aca="false">IFERROR(D16/C16,0)</f>
        <v>0</v>
      </c>
    </row>
    <row r="18" customFormat="false" ht="15" hidden="false" customHeight="false" outlineLevel="0" collapsed="false">
      <c r="B18" s="31" t="s">
        <v>572</v>
      </c>
      <c r="C18" s="32" t="n">
        <f aca="false">COUNTIF('Test Cases'!$E$3:$E$90,"P1")</f>
        <v>15</v>
      </c>
      <c r="D18" s="33" t="s">
        <v>573</v>
      </c>
      <c r="E18" s="32" t="n">
        <f aca="false">COUNTIFS('Test Cases'!$E$3:$E$90,"P1",'Test Cases'!$J$3:$J$90,"Pass")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2026-07-26T21:38:17Z</dcterms:created>
  <dc:creator>openpyxl</dc:creator>
  <dc:description/>
  <dc:language>en-US</dc:language>
  <cp:lastModifiedBy/>
  <dcterms:modified xsi:type="dcterms:W3CDTF">2026-07-26T21:38:17Z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