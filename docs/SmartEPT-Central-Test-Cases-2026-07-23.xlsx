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ug-Fix Verification (R2)" sheetId="2" state="visible" r:id="rId4"/>
    <sheet name="Test Cases" sheetId="3" state="visible" r:id="rId5"/>
    <sheet name="Summary" sheetId="4" state="visible" r:id="rId6"/>
  </sheets>
  <definedNames>
    <definedName function="false" hidden="true" localSheetId="1" name="_xlnm._FilterDatabase" vbProcedure="false">'Bug-Fix Verification (R2)'!$A$2:$M$2</definedName>
    <definedName function="false" hidden="true" localSheetId="2" name="_xlnm._FilterDatabase" vbProcedure="false">'Test Cases'!$A$1:$M$1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<sst xmlns="http://schemas.openxmlformats.org/spreadsheetml/2006/main" count="1218" uniqueCount="761">
  <si>
    <t xml:space="preserve">SmartEPT — Central (Super Admin)</t>
  </si>
  <si>
    <t xml:space="preserve">Software Test Cases &amp; QA Verification Pack</t>
  </si>
  <si>
    <t xml:space="preserve">M/s. AMETECS INDIA PRIVATE LIMITED  ·  Employee Productivity Tracking &amp; Intelligence</t>
  </si>
  <si>
    <t xml:space="preserve">Document</t>
  </si>
  <si>
    <t xml:space="preserve">SmartEPT-Central-Test-Cases</t>
  </si>
  <si>
    <t xml:space="preserve">Revision</t>
  </si>
  <si>
    <t xml:space="preserve">rev001</t>
  </si>
  <si>
    <t xml:space="preserve">Date</t>
  </si>
  <si>
    <t xml:space="preserve">23 July 2026</t>
  </si>
  <si>
    <t xml:space="preserve">Build / commit</t>
  </si>
  <si>
    <t xml:space="preserve">main @ 0377f00</t>
  </si>
  <si>
    <t xml:space="preserve">Scope</t>
  </si>
  <si>
    <t xml:space="preserve">Central super-admin console — all modules + QA round-2 fixes</t>
  </si>
  <si>
    <t xml:space="preserve">Prepared by</t>
  </si>
  <si>
    <t xml:space="preserve">SmartEPT Dev (Ametecs)</t>
  </si>
  <si>
    <t xml:space="preserve">Total test cases</t>
  </si>
  <si>
    <t xml:space="preserve">113</t>
  </si>
  <si>
    <t xml:space="preserve">Priority key</t>
  </si>
  <si>
    <t xml:space="preserve">P1 = critical  ·  P2 = major  ·  P3 = minor</t>
  </si>
  <si>
    <t xml:space="preserve">Status values</t>
  </si>
  <si>
    <t xml:space="preserve">Pass · Fail · Blocked · Not Run (dropdown in each row)</t>
  </si>
  <si>
    <t xml:space="preserve">How to use this workbook</t>
  </si>
  <si>
    <t xml:space="preserve">• 'Bug-Fix Verification (R2)' — retest the 5 issues your team reported on 23-Jul (highest priority).</t>
  </si>
  <si>
    <t xml:space="preserve">• 'Test Cases' — full module-by-module coverage of the Central console.</t>
  </si>
  <si>
    <t xml:space="preserve">• Fill Actual Result + Status (dropdown) per row; add Notes for any Fail/Blocked.</t>
  </si>
  <si>
    <t xml:space="preserve">• 'Summary' auto-counts progress by module and priority once you set Status.</t>
  </si>
  <si>
    <t xml:space="preserve">QA Round-2 — Verification of the 5 issues reported 23-Jul-2026 (fixed in main @ 0377f00)</t>
  </si>
  <si>
    <t xml:space="preserve">TC ID</t>
  </si>
  <si>
    <t xml:space="preserve">Module</t>
  </si>
  <si>
    <t xml:space="preserve">Sub-Area</t>
  </si>
  <si>
    <t xml:space="preserve">Title / Scenario</t>
  </si>
  <si>
    <t xml:space="preserve">Type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</si>
  <si>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</si>
  <si>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</si>
  <si>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</si>
  <si>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</si>
  <si>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</si>
  <si>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</si>
  <si>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</si>
  <si>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Notes</t>
  </si>
  <si>
    <t xml:space="preserve">BF-01</t>
  </si>
  <si>
    <t xml:space="preserve">Licences</t>
  </si>
  <si>
    <t xml:space="preserve">Billing period</t>
  </si>
  <si>
    <t xml:space="preserve">Issue licence with QUARTERLY period saves without error</t>
  </si>
  <si>
    <t xml:space="preserve">Regression</t>
  </si>
  <si>
    <t xml:space="preserve">P1</t>
  </si>
  <si>
    <t xml:space="preserve">Logged in as Super admin; at least one client + plan exist.</t>
  </si>
  <si>
    <t xml:space="preserve">1. Go to Licences → + Issue Licence
2. Pick a client and plan
3. Set Billing period = Quarterly — 3 months
4. Set Kind=Subscription, a device limit, click Issue Licence</t>
  </si>
  <si>
    <t xml:space="preserve">Client=any, Plan=Professional, Billing=Quarterly, Devices=10</t>
  </si>
  <si>
    <t xml:space="preserve">Licence is created; toast shows the new key; NO 'data truncated'/server error. Expiry = today + 3 months.</t>
  </si>
  <si>
    <t xml:space="preserve">BF-02</t>
  </si>
  <si>
    <t xml:space="preserve">Issue licence with HALF-YEARLY (6-month) period saves without error</t>
  </si>
  <si>
    <t xml:space="preserve">Super admin; client + plan exist.</t>
  </si>
  <si>
    <t xml:space="preserve">1. Licences → + Issue Licence
2. Billing period = Half-yearly — 6 months
3. Complete and Issue</t>
  </si>
  <si>
    <t xml:space="preserve">Billing=Half-yearly, Devices=10</t>
  </si>
  <si>
    <t xml:space="preserve">Licence created, key shown, no error. Expiry = today + 6 months.</t>
  </si>
  <si>
    <t xml:space="preserve">BF-03</t>
  </si>
  <si>
    <t xml:space="preserve">Edit an existing licence's billing cycle to Quarterly/Half-yearly</t>
  </si>
  <si>
    <t xml:space="preserve">An active licence exists.</t>
  </si>
  <si>
    <t xml:space="preserve">1. Licences → Edit on a licence
2. Change Billing cycle = Half-yearly
3. Save changes</t>
  </si>
  <si>
    <t xml:space="preserve">Billing=Half-yearly</t>
  </si>
  <si>
    <t xml:space="preserve">Save succeeds, no error, list reflects the change on reload.</t>
  </si>
  <si>
    <t xml:space="preserve">BF-04</t>
  </si>
  <si>
    <t xml:space="preserve">Orders</t>
  </si>
  <si>
    <t xml:space="preserve">Trial→Paid partial</t>
  </si>
  <si>
    <t xml:space="preserve">Convert Trial to Paid and record a PARTIAL payment on a Quarterly order</t>
  </si>
  <si>
    <t xml:space="preserve">A tenant in Trial status exists.</t>
  </si>
  <si>
    <t xml:space="preserve">1. Trials → Convert to Paid (opens New Order)
2. Choose Billing = Quarterly, create the order
3. On the order, Record Payment → Partial
4. Enter part amount, method, credit due date, Save &amp; provision</t>
  </si>
  <si>
    <t xml:space="preserve">Billing=Quarterly, Total e.g. ₹11,800, Partial=₹5,000, Due date=+15 days</t>
  </si>
  <si>
    <t xml:space="preserve">Payment records, licence provisions as ACTIVE, invoice issued as DUE, balance = total − part. NO error at the partial step.</t>
  </si>
  <si>
    <t xml:space="preserve">BF-05</t>
  </si>
  <si>
    <t xml:space="preserve">Support</t>
  </si>
  <si>
    <t xml:space="preserve">Reply not erased</t>
  </si>
  <si>
    <t xml:space="preserve">Adding a second reply keeps the first reply (no overwrite)</t>
  </si>
  <si>
    <t xml:space="preserve">A ticket exists with one admin reply already sent.</t>
  </si>
  <si>
    <t xml:space="preserve">1. Support → open the ticket
2. Confirm the earlier reply shows in the thread (read-only)
3. Type a NEW reply in the empty box
4. Save &amp; send</t>
  </si>
  <si>
    <t xml:space="preserve">Reply 1 already present; Reply 2 = new text</t>
  </si>
  <si>
    <t xml:space="preserve">Both replies appear in the thread with author + time. The earlier reply is NOT editable and NOT erased.</t>
  </si>
  <si>
    <t xml:space="preserve">BF-06</t>
  </si>
  <si>
    <t xml:space="preserve">Timeline &amp; author</t>
  </si>
  <si>
    <t xml:space="preserve">Status change and responder are recorded in the timeline</t>
  </si>
  <si>
    <t xml:space="preserve">An open ticket exists.</t>
  </si>
  <si>
    <t xml:space="preserve">1. Open the ticket
2. Change status open→in_progress and add a reply
3. Save &amp; send
4. Re-open the ticket</t>
  </si>
  <si>
    <t xml:space="preserve">Status open→in_progress; reply text</t>
  </si>
  <si>
    <t xml:space="preserve">Timeline shows a 'changed status open → in progress' entry and the reply, each with the staff member's name and IST time.</t>
  </si>
  <si>
    <t xml:space="preserve">BF-07</t>
  </si>
  <si>
    <t xml:space="preserve">Local time</t>
  </si>
  <si>
    <t xml:space="preserve">Ticket times display in IST, not UTC</t>
  </si>
  <si>
    <t xml:space="preserve">At least one ticket raised in the last hour.</t>
  </si>
  <si>
    <t xml:space="preserve">1. Open Support list
2. Note the Raised time
3. Compare with the wall clock (IST)</t>
  </si>
  <si>
    <t xml:space="preserve">Current IST time</t>
  </si>
  <si>
    <t xml:space="preserve">Raised/replied times match IST (UTC+5:30), formatted like '23 Jul 2026, 08:15 PM'.</t>
  </si>
  <si>
    <t xml:space="preserve">BF-08</t>
  </si>
  <si>
    <t xml:space="preserve">Downloads</t>
  </si>
  <si>
    <t xml:space="preserve">Upload limit</t>
  </si>
  <si>
    <t xml:space="preserve">Upload a 100MB+ installer from the console</t>
  </si>
  <si>
    <t xml:space="preserve">Super admin; php.ini/.user.ini limit raised to 256M and PHP restarted.</t>
  </si>
  <si>
    <t xml:space="preserve">1. Settings has taken effect (Downloads screen shows 'Max upload ... 256M')
2. Downloads → add/replace file → choose a 100–150MB installer
3. Save</t>
  </si>
  <si>
    <t xml:space="preserve">installer .exe ≈ 120MB</t>
  </si>
  <si>
    <t xml:space="preserve">Upload completes; artifact shows the real filename and size; no 'file too large' error.</t>
  </si>
  <si>
    <t xml:space="preserve">BF-09</t>
  </si>
  <si>
    <t xml:space="preserve">Licence shown</t>
  </si>
  <si>
    <t xml:space="preserve">Orders &amp; Payment lists the linked Licence</t>
  </si>
  <si>
    <t xml:space="preserve">At least one paid/provisioned order exists.</t>
  </si>
  <si>
    <t xml:space="preserve">1. Go to Orders &amp; Payment
2. Inspect the new Licence column</t>
  </si>
  <si>
    <t xml:space="preserve">any provisioned order</t>
  </si>
  <si>
    <t xml:space="preserve">Each order that issued/renewed a licence shows its licence key (with status if not active); orders without a licence show —.</t>
  </si>
  <si>
    <t xml:space="preserve">BF-10</t>
  </si>
  <si>
    <t xml:space="preserve">Migration integrity</t>
  </si>
  <si>
    <t xml:space="preserve">Existing tickets keep their original message + reply after upgrade</t>
  </si>
  <si>
    <t xml:space="preserve">Migrations 000700/000800 run on a DB that already had tickets.</t>
  </si>
  <si>
    <t xml:space="preserve">1. Open a ticket that existed before the update</t>
  </si>
  <si>
    <t xml:space="preserve">pre-existing ticket</t>
  </si>
  <si>
    <t xml:space="preserve">The client's original message and any prior admin reply appear as the first entries in the new thread (nothing lost).</t>
  </si>
  <si>
    <t xml:space="preserve">TC-A01</t>
  </si>
  <si>
    <t xml:space="preserve">Access</t>
  </si>
  <si>
    <t xml:space="preserve">Admin login</t>
  </si>
  <si>
    <t xml:space="preserve">Valid super-admin login</t>
  </si>
  <si>
    <t xml:space="preserve">Functional</t>
  </si>
  <si>
    <t xml:space="preserve">Valid super-admin account exists.</t>
  </si>
  <si>
    <t xml:space="preserve">1. Open /admin/login
2. Enter correct email &amp; password
3. Submit</t>
  </si>
  <si>
    <t xml:space="preserve">valid creds</t>
  </si>
  <si>
    <t xml:space="preserve">Redirected to console; session established; nav shows all modules.</t>
  </si>
  <si>
    <t xml:space="preserve">TC-A02</t>
  </si>
  <si>
    <t xml:space="preserve">Wrong password rejected</t>
  </si>
  <si>
    <t xml:space="preserve">Negative</t>
  </si>
  <si>
    <t xml:space="preserve">Account exists.</t>
  </si>
  <si>
    <t xml:space="preserve">1. Open /admin/login
2. Enter valid email, wrong password
3. Submit</t>
  </si>
  <si>
    <t xml:space="preserve">bad password</t>
  </si>
  <si>
    <t xml:space="preserve">Login refused with a friendly error; no session created.</t>
  </si>
  <si>
    <t xml:space="preserve">TC-A03</t>
  </si>
  <si>
    <t xml:space="preserve">Rate limit</t>
  </si>
  <si>
    <t xml:space="preserve">Login throttle after repeated failures</t>
  </si>
  <si>
    <t xml:space="preserve">Security</t>
  </si>
  <si>
    <t xml:space="preserve">P2</t>
  </si>
  <si>
    <t xml:space="preserve">—</t>
  </si>
  <si>
    <t xml:space="preserve">1. Attempt login 11 times rapidly with wrong password</t>
  </si>
  <si>
    <t xml:space="preserve">throttle:10,1</t>
  </si>
  <si>
    <t xml:space="preserve">After the limit, requests are throttled (429) for the window.</t>
  </si>
  <si>
    <t xml:space="preserve">TC-A04</t>
  </si>
  <si>
    <t xml:space="preserve">Logout</t>
  </si>
  <si>
    <t xml:space="preserve">Logout ends the session</t>
  </si>
  <si>
    <t xml:space="preserve">Logged in.</t>
  </si>
  <si>
    <t xml:space="preserve">1. Click logout</t>
  </si>
  <si>
    <t xml:space="preserve">Session cleared; visiting console redirects to login.</t>
  </si>
  <si>
    <t xml:space="preserve">TC-A05</t>
  </si>
  <si>
    <t xml:space="preserve">Guard</t>
  </si>
  <si>
    <t xml:space="preserve">Unauthenticated access blocked</t>
  </si>
  <si>
    <t xml:space="preserve">Logged out.</t>
  </si>
  <si>
    <t xml:space="preserve">1. Directly open /admin or an /admin/api endpoint</t>
  </si>
  <si>
    <t xml:space="preserve">Redirected to login / 401; no data returned.</t>
  </si>
  <si>
    <t xml:space="preserve">TC-A06</t>
  </si>
  <si>
    <t xml:space="preserve">Password</t>
  </si>
  <si>
    <t xml:space="preserve">Login is case-sensitive on password</t>
  </si>
  <si>
    <t xml:space="preserve">P3</t>
  </si>
  <si>
    <t xml:space="preserve">1. Enter correct email, password with altered case
2. Submit</t>
  </si>
  <si>
    <t xml:space="preserve">case-variant</t>
  </si>
  <si>
    <t xml:space="preserve">Login refused.</t>
  </si>
  <si>
    <t xml:space="preserve">TC-B01</t>
  </si>
  <si>
    <t xml:space="preserve">Dashboard</t>
  </si>
  <si>
    <t xml:space="preserve">KPIs</t>
  </si>
  <si>
    <t xml:space="preserve">Dashboard loads revenue/MRR/trials/unpaid</t>
  </si>
  <si>
    <t xml:space="preserve">Some orders/trials exist.</t>
  </si>
  <si>
    <t xml:space="preserve">1. Open Dashboard</t>
  </si>
  <si>
    <t xml:space="preserve">Cards render: revenue this month, MRR, trials expiring 7d, unpaid orders — values match data.</t>
  </si>
  <si>
    <t xml:space="preserve">TC-B02</t>
  </si>
  <si>
    <t xml:space="preserve">Needs attention</t>
  </si>
  <si>
    <t xml:space="preserve">Counts equal trials expiring + unpaid orders</t>
  </si>
  <si>
    <t xml:space="preserve">1. Read 'Needs Attention' vs the two sub-counts</t>
  </si>
  <si>
    <t xml:space="preserve">Needs Attention = trials_expiring_7d + orders_pending.</t>
  </si>
  <si>
    <t xml:space="preserve">TC-B03</t>
  </si>
  <si>
    <t xml:space="preserve">Recent orders</t>
  </si>
  <si>
    <t xml:space="preserve">Recent orders table shows latest first</t>
  </si>
  <si>
    <t xml:space="preserve">≥1 order.</t>
  </si>
  <si>
    <t xml:space="preserve">1. View recent orders on dashboard</t>
  </si>
  <si>
    <t xml:space="preserve">Newest orders on top; number, client, total, status correct.</t>
  </si>
  <si>
    <t xml:space="preserve">TC-C01</t>
  </si>
  <si>
    <t xml:space="preserve">Clients</t>
  </si>
  <si>
    <t xml:space="preserve">Create</t>
  </si>
  <si>
    <t xml:space="preserve">Create a new client/tenant</t>
  </si>
  <si>
    <t xml:space="preserve">Super/sales.</t>
  </si>
  <si>
    <t xml:space="preserve">1. Clients → add tenant
2. Fill company, email, phone, deployment
3. Save</t>
  </si>
  <si>
    <t xml:space="preserve">company='Krishna NBFC'</t>
  </si>
  <si>
    <t xml:space="preserve">Tenant created and listed.</t>
  </si>
  <si>
    <t xml:space="preserve">TC-C02</t>
  </si>
  <si>
    <t xml:space="preserve">Validation</t>
  </si>
  <si>
    <t xml:space="preserve">Duplicate/invalid email rejected</t>
  </si>
  <si>
    <t xml:space="preserve">1. Create tenant with malformed email</t>
  </si>
  <si>
    <t xml:space="preserve">email='abc'</t>
  </si>
  <si>
    <t xml:space="preserve">Validation error; not saved.</t>
  </si>
  <si>
    <t xml:space="preserve">TC-C03</t>
  </si>
  <si>
    <t xml:space="preserve">View</t>
  </si>
  <si>
    <t xml:space="preserve">Open a client detail (licences, orders, storage)</t>
  </si>
  <si>
    <t xml:space="preserve">Client exists.</t>
  </si>
  <si>
    <t xml:space="preserve">1. Clients → open a client</t>
  </si>
  <si>
    <t xml:space="preserve">Detail shows company info, licences, orders, and actions (raise setup invoice etc.).</t>
  </si>
  <si>
    <t xml:space="preserve">TC-C04</t>
  </si>
  <si>
    <t xml:space="preserve">Edit</t>
  </si>
  <si>
    <t xml:space="preserve">Edit client billing profile (GST/state/address)</t>
  </si>
  <si>
    <t xml:space="preserve">1. Open client → edit billing profile
2. Change GSTIN/state
3. Save</t>
  </si>
  <si>
    <t xml:space="preserve">GSTIN 36...</t>
  </si>
  <si>
    <t xml:space="preserve">Saved; used later on invoices.</t>
  </si>
  <si>
    <t xml:space="preserve">TC-C05</t>
  </si>
  <si>
    <t xml:space="preserve">Deployment</t>
  </si>
  <si>
    <t xml:space="preserve">Deployment flag drives cloud vs on-prem behaviour</t>
  </si>
  <si>
    <t xml:space="preserve">1. Set a tenant deployment=cloud</t>
  </si>
  <si>
    <t xml:space="preserve">deployment=cloud</t>
  </si>
  <si>
    <t xml:space="preserve">Cloud storage metering &amp; console provisioning become applicable.</t>
  </si>
  <si>
    <t xml:space="preserve">TC-D01</t>
  </si>
  <si>
    <t xml:space="preserve">List/filter</t>
  </si>
  <si>
    <t xml:space="preserve">Filter licences by status and kind</t>
  </si>
  <si>
    <t xml:space="preserve">Several licences exist.</t>
  </si>
  <si>
    <t xml:space="preserve">1. Licences → set status/kind filters, search key</t>
  </si>
  <si>
    <t xml:space="preserve">status=active</t>
  </si>
  <si>
    <t xml:space="preserve">List filters correctly; count matches.</t>
  </si>
  <si>
    <t xml:space="preserve">TC-D02</t>
  </si>
  <si>
    <t xml:space="preserve">Issue</t>
  </si>
  <si>
    <t xml:space="preserve">Issue Annual subscription licence</t>
  </si>
  <si>
    <t xml:space="preserve">Client+plan.</t>
  </si>
  <si>
    <t xml:space="preserve">1. + Issue Licence, Billing=Annual, Issue</t>
  </si>
  <si>
    <t xml:space="preserve">Annual, 10 devices</t>
  </si>
  <si>
    <t xml:space="preserve">Key generated (SEPT-...), expiry=+12 months, status active.</t>
  </si>
  <si>
    <t xml:space="preserve">TC-D03</t>
  </si>
  <si>
    <t xml:space="preserve">Issue perpetual</t>
  </si>
  <si>
    <t xml:space="preserve">Issue perpetual licence sets AMC</t>
  </si>
  <si>
    <t xml:space="preserve">1. + Issue Licence, Kind=Perpetual</t>
  </si>
  <si>
    <t xml:space="preserve">perpetual</t>
  </si>
  <si>
    <t xml:space="preserve">No expiry; AMC expiry = +1 year.</t>
  </si>
  <si>
    <t xml:space="preserve">TC-D04</t>
  </si>
  <si>
    <t xml:space="preserve">Trial</t>
  </si>
  <si>
    <t xml:space="preserve">Issue trial licence = 7 days, 0 grace</t>
  </si>
  <si>
    <t xml:space="preserve">1. + Issue Licence, Kind=Trial</t>
  </si>
  <si>
    <t xml:space="preserve">trial</t>
  </si>
  <si>
    <t xml:space="preserve">Expiry=+7 days; grace_days=0.</t>
  </si>
  <si>
    <t xml:space="preserve">TC-D05</t>
  </si>
  <si>
    <t xml:space="preserve">Renew</t>
  </si>
  <si>
    <t xml:space="preserve">Renew extends by billing block from current expiry</t>
  </si>
  <si>
    <t xml:space="preserve">Active licence.</t>
  </si>
  <si>
    <t xml:space="preserve">1. Licences → Renew, confirm suggested date</t>
  </si>
  <si>
    <t xml:space="preserve">Half-yearly licence</t>
  </si>
  <si>
    <t xml:space="preserve">New expiry = current expiry + 6 months; status active.</t>
  </si>
  <si>
    <t xml:space="preserve">TC-D06</t>
  </si>
  <si>
    <t xml:space="preserve">Edit expiry</t>
  </si>
  <si>
    <t xml:space="preserve">Edit a wrong expiry date; future date reactivates expired</t>
  </si>
  <si>
    <t xml:space="preserve">Expired licence.</t>
  </si>
  <si>
    <t xml:space="preserve">1. Edit → set a future expiry
2. Save</t>
  </si>
  <si>
    <t xml:space="preserve">future date</t>
  </si>
  <si>
    <t xml:space="preserve">Licence status flips back to active.</t>
  </si>
  <si>
    <t xml:space="preserve">TC-D07</t>
  </si>
  <si>
    <t xml:space="preserve">Device limit</t>
  </si>
  <si>
    <t xml:space="preserve">Cannot set device limit below active devices</t>
  </si>
  <si>
    <t xml:space="preserve">Licence has N active devices.</t>
  </si>
  <si>
    <t xml:space="preserve">1. Edit → device limit &lt; active count
2. Save</t>
  </si>
  <si>
    <t xml:space="preserve">limit&lt;active</t>
  </si>
  <si>
    <t xml:space="preserve">422 with clear message; not saved.</t>
  </si>
  <si>
    <t xml:space="preserve">TC-D08</t>
  </si>
  <si>
    <t xml:space="preserve">Suspend/Resume</t>
  </si>
  <si>
    <t xml:space="preserve">Suspend then resume a licence</t>
  </si>
  <si>
    <t xml:space="preserve">1. Suspend
2. Resume</t>
  </si>
  <si>
    <t xml:space="preserve">Status toggles suspended→active; validation reflects it.</t>
  </si>
  <si>
    <t xml:space="preserve">TC-D09</t>
  </si>
  <si>
    <t xml:space="preserve">Revoke</t>
  </si>
  <si>
    <t xml:space="preserve">Revoke asks for confirmation and is permanent</t>
  </si>
  <si>
    <t xml:space="preserve">1. Revoke → confirm</t>
  </si>
  <si>
    <t xml:space="preserve">Status=revoked; product validation returns licence_revoked.</t>
  </si>
  <si>
    <t xml:space="preserve">TC-D10</t>
  </si>
  <si>
    <t xml:space="preserve">AMC</t>
  </si>
  <si>
    <t xml:space="preserve">Renew AMC on a perpetual licence</t>
  </si>
  <si>
    <t xml:space="preserve">Perpetual licence.</t>
  </si>
  <si>
    <t xml:space="preserve">1. Renew AMC</t>
  </si>
  <si>
    <t xml:space="preserve">AMC expiry advances by 1 year.</t>
  </si>
  <si>
    <t xml:space="preserve">TC-D11</t>
  </si>
  <si>
    <t xml:space="preserve">.lic file</t>
  </si>
  <si>
    <t xml:space="preserve">Generate node-locked .lic with fingerprint</t>
  </si>
  <si>
    <t xml:space="preserve">Signing key set up.</t>
  </si>
  <si>
    <t xml:space="preserve">1. Licence file → paste fingerprint → Generate &amp; download</t>
  </si>
  <si>
    <t xml:space="preserve">40-char fingerprint</t>
  </si>
  <si>
    <t xml:space="preserve">File downloads; locked to that machine.</t>
  </si>
  <si>
    <t xml:space="preserve">TC-D12</t>
  </si>
  <si>
    <t xml:space="preserve">Generate unlocked .lic (blank fingerprint)</t>
  </si>
  <si>
    <t xml:space="preserve">1. Licence file → leave blank → Generate</t>
  </si>
  <si>
    <t xml:space="preserve">File downloads; runs on any machine.</t>
  </si>
  <si>
    <t xml:space="preserve">TC-D13</t>
  </si>
  <si>
    <t xml:space="preserve">Missing signing key shows setup guidance</t>
  </si>
  <si>
    <t xml:space="preserve">Signing key NOT set.</t>
  </si>
  <si>
    <t xml:space="preserve">1. Licence file → Generate</t>
  </si>
  <si>
    <t xml:space="preserve">422 telling admin to run smartept:make-keys; no crash.</t>
  </si>
  <si>
    <t xml:space="preserve">TC-D14</t>
  </si>
  <si>
    <t xml:space="preserve">Deactivate device</t>
  </si>
  <si>
    <t xml:space="preserve">Free a device seat</t>
  </si>
  <si>
    <t xml:space="preserve">Licence with active device.</t>
  </si>
  <si>
    <t xml:space="preserve">1. Deactivate a device on the licence</t>
  </si>
  <si>
    <t xml:space="preserve">device_uid</t>
  </si>
  <si>
    <t xml:space="preserve">Seat freed; a replacement can activate.</t>
  </si>
  <si>
    <t xml:space="preserve">TC-E01</t>
  </si>
  <si>
    <t xml:space="preserve">Quote</t>
  </si>
  <si>
    <t xml:space="preserve">Live quote updates as inputs change</t>
  </si>
  <si>
    <t xml:space="preserve">1. New Order → change devices/billing/deployment</t>
  </si>
  <si>
    <t xml:space="preserve">vary devices</t>
  </si>
  <si>
    <t xml:space="preserve">Quote lines, GST and total recompute live.</t>
  </si>
  <si>
    <t xml:space="preserve">TC-E02</t>
  </si>
  <si>
    <t xml:space="preserve">Create order</t>
  </si>
  <si>
    <t xml:space="preserve">Create payable order (incl. first-time setup fee)</t>
  </si>
  <si>
    <t xml:space="preserve">First paid order for client.</t>
  </si>
  <si>
    <t xml:space="preserve">1. New Order → create as Order</t>
  </si>
  <si>
    <t xml:space="preserve">25 devices</t>
  </si>
  <si>
    <t xml:space="preserve">Order created; includes one-time Setup &amp; Onboarding fee.</t>
  </si>
  <si>
    <t xml:space="preserve">TC-E03</t>
  </si>
  <si>
    <t xml:space="preserve">Quotation</t>
  </si>
  <si>
    <t xml:space="preserve">Create as quotation then approve</t>
  </si>
  <si>
    <t xml:space="preserve">1. New Order → create as Quotation
2. Approve</t>
  </si>
  <si>
    <t xml:space="preserve">as_quote=1</t>
  </si>
  <si>
    <t xml:space="preserve">Quote number issued; Approve makes it payable (keeps quote number).</t>
  </si>
  <si>
    <t xml:space="preserve">TC-E04</t>
  </si>
  <si>
    <t xml:space="preserve">Mark paid full</t>
  </si>
  <si>
    <t xml:space="preserve">Record full manual payment</t>
  </si>
  <si>
    <t xml:space="preserve">Unpaid order.</t>
  </si>
  <si>
    <t xml:space="preserve">1. Record Payment → Paid in full, method+ref
2. Save</t>
  </si>
  <si>
    <t xml:space="preserve">NEFT UTR</t>
  </si>
  <si>
    <t xml:space="preserve">Order=paid, licence active, invoice PAID, receipt emailed.</t>
  </si>
  <si>
    <t xml:space="preserve">TC-E05</t>
  </si>
  <si>
    <t xml:space="preserve">Partial</t>
  </si>
  <si>
    <t xml:space="preserve">Partial payment provisions on credit</t>
  </si>
  <si>
    <t xml:space="preserve">1. Record Payment → Partial, amount, due date
2. Save</t>
  </si>
  <si>
    <t xml:space="preserve">part amount</t>
  </si>
  <si>
    <t xml:space="preserve">Provisioned; invoice DUE; balance tracked in Credit Clients.</t>
  </si>
  <si>
    <t xml:space="preserve">TC-E06</t>
  </si>
  <si>
    <t xml:space="preserve">Partial guard</t>
  </si>
  <si>
    <t xml:space="preserve">Partial ≥ balance is rejected</t>
  </si>
  <si>
    <t xml:space="preserve">1. Record Payment → Partial, amount = total</t>
  </si>
  <si>
    <t xml:space="preserve">amount=total</t>
  </si>
  <si>
    <t xml:space="preserve">422 telling admin to choose Paid in full instead.</t>
  </si>
  <si>
    <t xml:space="preserve">TC-E07</t>
  </si>
  <si>
    <t xml:space="preserve">Due</t>
  </si>
  <si>
    <t xml:space="preserve">Whole amount on credit (₹0 now)</t>
  </si>
  <si>
    <t xml:space="preserve">1. Record Payment → Due, due date
2. Save</t>
  </si>
  <si>
    <t xml:space="preserve">₹0 now</t>
  </si>
  <si>
    <t xml:space="preserve">Provisioned on credit; invoice DUE; ledger unchanged.</t>
  </si>
  <si>
    <t xml:space="preserve">TC-E08</t>
  </si>
  <si>
    <t xml:space="preserve">Record balance</t>
  </si>
  <si>
    <t xml:space="preserve">Record a later instalment clears balance</t>
  </si>
  <si>
    <t xml:space="preserve">Provisioned order with balance.</t>
  </si>
  <si>
    <t xml:space="preserve">1. Record balance → amount, method
2. Save</t>
  </si>
  <si>
    <t xml:space="preserve">balance amount</t>
  </si>
  <si>
    <t xml:space="preserve">On reaching zero: invoice PAID, receipt emailed.</t>
  </si>
  <si>
    <t xml:space="preserve">TC-E09</t>
  </si>
  <si>
    <t xml:space="preserve">Balance overpay</t>
  </si>
  <si>
    <t xml:space="preserve">Instalment &gt; outstanding is rejected</t>
  </si>
  <si>
    <t xml:space="preserve">Order with small balance.</t>
  </si>
  <si>
    <t xml:space="preserve">1. Record balance → amount &gt; balance</t>
  </si>
  <si>
    <t xml:space="preserve">over amount</t>
  </si>
  <si>
    <t xml:space="preserve">422 stating the exact outstanding; not recorded.</t>
  </si>
  <si>
    <t xml:space="preserve">TC-E10</t>
  </si>
  <si>
    <t xml:space="preserve">Refund</t>
  </si>
  <si>
    <t xml:space="preserve">Refund/credit-note up to net received</t>
  </si>
  <si>
    <t xml:space="preserve">Order with received&gt;0.</t>
  </si>
  <si>
    <t xml:space="preserve">1. Refund → amount, reason
2. Save</t>
  </si>
  <si>
    <t xml:space="preserve">amount≤received</t>
  </si>
  <si>
    <t xml:space="preserve">Negative ledger row; credit note number; received drops.</t>
  </si>
  <si>
    <t xml:space="preserve">TC-E11</t>
  </si>
  <si>
    <t xml:space="preserve">Refund guard</t>
  </si>
  <si>
    <t xml:space="preserve">Refund &gt; received rejected</t>
  </si>
  <si>
    <t xml:space="preserve">1. Refund amount &gt; received</t>
  </si>
  <si>
    <t xml:space="preserve">over</t>
  </si>
  <si>
    <t xml:space="preserve">422; nothing recorded.</t>
  </si>
  <si>
    <t xml:space="preserve">TC-E12</t>
  </si>
  <si>
    <t xml:space="preserve">Setup invoice</t>
  </si>
  <si>
    <t xml:space="preserve">Raise standalone install &amp; onboarding invoice</t>
  </si>
  <si>
    <t xml:space="preserve">Client without setup paid.</t>
  </si>
  <si>
    <t xml:space="preserve">1. Raise setup invoice → devices → pay link</t>
  </si>
  <si>
    <t xml:space="preserve">Invoice + pay link; setup_fee_paid flips once paid.</t>
  </si>
  <si>
    <t xml:space="preserve">TC-E13</t>
  </si>
  <si>
    <t xml:space="preserve">Already paid</t>
  </si>
  <si>
    <t xml:space="preserve">Cannot record payment on a paid order</t>
  </si>
  <si>
    <t xml:space="preserve">Paid order.</t>
  </si>
  <si>
    <t xml:space="preserve">1. Record Payment on a paid order</t>
  </si>
  <si>
    <t xml:space="preserve">422 'already paid'.</t>
  </si>
  <si>
    <t xml:space="preserve">TC-E14</t>
  </si>
  <si>
    <t xml:space="preserve">Pay link</t>
  </si>
  <si>
    <t xml:space="preserve">Copy/share pay link for an order</t>
  </si>
  <si>
    <t xml:space="preserve">Order exists.</t>
  </si>
  <si>
    <t xml:space="preserve">1. Pay Link</t>
  </si>
  <si>
    <t xml:space="preserve">A /pay/{number}/{token} URL is provided.</t>
  </si>
  <si>
    <t xml:space="preserve">TC-E15</t>
  </si>
  <si>
    <t xml:space="preserve">Coupon</t>
  </si>
  <si>
    <t xml:space="preserve">Coupon applies as a negative line before GST</t>
  </si>
  <si>
    <t xml:space="preserve">Valid coupon.</t>
  </si>
  <si>
    <t xml:space="preserve">1. New Order → enter coupon</t>
  </si>
  <si>
    <t xml:space="preserve">DIWALI25</t>
  </si>
  <si>
    <t xml:space="preserve">Discount line shown; subtotal reduced; GST on discounted subtotal.</t>
  </si>
  <si>
    <t xml:space="preserve">TC-F01</t>
  </si>
  <si>
    <t xml:space="preserve">Trials</t>
  </si>
  <si>
    <t xml:space="preserve">List</t>
  </si>
  <si>
    <t xml:space="preserve">Active vs expired trials listed</t>
  </si>
  <si>
    <t xml:space="preserve">Trials exist.</t>
  </si>
  <si>
    <t xml:space="preserve">1. Open Trials</t>
  </si>
  <si>
    <t xml:space="preserve">Active trials sorted by expiry; expired listed separately.</t>
  </si>
  <si>
    <t xml:space="preserve">TC-F02</t>
  </si>
  <si>
    <t xml:space="preserve">Extend</t>
  </si>
  <si>
    <t xml:space="preserve">Extend trial by 1–30 days</t>
  </si>
  <si>
    <t xml:space="preserve">Active trial.</t>
  </si>
  <si>
    <t xml:space="preserve">1. Extend → enter days</t>
  </si>
  <si>
    <t xml:space="preserve">days=7</t>
  </si>
  <si>
    <t xml:space="preserve">trial_ends_at + purge_after advance; trial licence expiry updated.</t>
  </si>
  <si>
    <t xml:space="preserve">TC-F03</t>
  </si>
  <si>
    <t xml:space="preserve">Extend bound</t>
  </si>
  <si>
    <t xml:space="preserve">Extend rejects &gt;30 or &lt;1</t>
  </si>
  <si>
    <t xml:space="preserve">Boundary</t>
  </si>
  <si>
    <t xml:space="preserve">1. Extend → 45</t>
  </si>
  <si>
    <t xml:space="preserve">days=45</t>
  </si>
  <si>
    <t xml:space="preserve">Validation error; no change.</t>
  </si>
  <si>
    <t xml:space="preserve">TC-F04</t>
  </si>
  <si>
    <t xml:space="preserve">Convert</t>
  </si>
  <si>
    <t xml:space="preserve">Convert to Paid opens pre-filled order</t>
  </si>
  <si>
    <t xml:space="preserve">1. Convert to Paid</t>
  </si>
  <si>
    <t xml:space="preserve">New Order modal opens with the client pre-selected.</t>
  </si>
  <si>
    <t xml:space="preserve">TC-G01</t>
  </si>
  <si>
    <t xml:space="preserve">Credit</t>
  </si>
  <si>
    <t xml:space="preserve">Outstanding balances listed with due dates</t>
  </si>
  <si>
    <t xml:space="preserve">Credit orders exist.</t>
  </si>
  <si>
    <t xml:space="preserve">1. Open Credit Clients</t>
  </si>
  <si>
    <t xml:space="preserve">Provisioned-but-unpaid orders show total/received/balance/payable-by.</t>
  </si>
  <si>
    <t xml:space="preserve">TC-G02</t>
  </si>
  <si>
    <t xml:space="preserve">Overdue</t>
  </si>
  <si>
    <t xml:space="preserve">Past-due rows are flagged</t>
  </si>
  <si>
    <t xml:space="preserve">Overdue credit order.</t>
  </si>
  <si>
    <t xml:space="preserve">1. View an order past its due date</t>
  </si>
  <si>
    <t xml:space="preserve">Row flagged overdue (red); no auto-lock (manual follow-up).</t>
  </si>
  <si>
    <t xml:space="preserve">TC-H01</t>
  </si>
  <si>
    <t xml:space="preserve">Invoices</t>
  </si>
  <si>
    <t xml:space="preserve">List invoices; filter by status</t>
  </si>
  <si>
    <t xml:space="preserve">Invoices exist.</t>
  </si>
  <si>
    <t xml:space="preserve">1. Invoices → filter status</t>
  </si>
  <si>
    <t xml:space="preserve">status=paid</t>
  </si>
  <si>
    <t xml:space="preserve">List filters correctly.</t>
  </si>
  <si>
    <t xml:space="preserve">TC-H02</t>
  </si>
  <si>
    <t xml:space="preserve">Print</t>
  </si>
  <si>
    <t xml:space="preserve">Invoice print view renders with GST + logo</t>
  </si>
  <si>
    <t xml:space="preserve">Invoice exists.</t>
  </si>
  <si>
    <t xml:space="preserve">1. Open invoice print</t>
  </si>
  <si>
    <t xml:space="preserve">Branded invoice with GST split, company + client details, logo.</t>
  </si>
  <si>
    <t xml:space="preserve">TC-H03</t>
  </si>
  <si>
    <t xml:space="preserve">Quote print</t>
  </si>
  <si>
    <t xml:space="preserve">Quotation print view renders</t>
  </si>
  <si>
    <t xml:space="preserve">Quote exists.</t>
  </si>
  <si>
    <t xml:space="preserve">1. Open quote print</t>
  </si>
  <si>
    <t xml:space="preserve">Branded quotation PDF view.</t>
  </si>
  <si>
    <t xml:space="preserve">TC-I01</t>
  </si>
  <si>
    <t xml:space="preserve">Coupons</t>
  </si>
  <si>
    <t xml:space="preserve">Create percent/flat coupon</t>
  </si>
  <si>
    <t xml:space="preserve">1. Coupons → create
2. Set type, value, limits</t>
  </si>
  <si>
    <t xml:space="preserve">25% max_uses=50</t>
  </si>
  <si>
    <t xml:space="preserve">Coupon created and usable in quotes.</t>
  </si>
  <si>
    <t xml:space="preserve">TC-I02</t>
  </si>
  <si>
    <t xml:space="preserve">Cap</t>
  </si>
  <si>
    <t xml:space="preserve">Coupon respects max_uses cap</t>
  </si>
  <si>
    <t xml:space="preserve">Coupon near cap.</t>
  </si>
  <si>
    <t xml:space="preserve">1. Redeem to the cap, attempt one more</t>
  </si>
  <si>
    <t xml:space="preserve">Over-cap redemption blocked/logged; not double counted.</t>
  </si>
  <si>
    <t xml:space="preserve">TC-I03</t>
  </si>
  <si>
    <t xml:space="preserve">Expired</t>
  </si>
  <si>
    <t xml:space="preserve">Expired coupon not applicable in new quote</t>
  </si>
  <si>
    <t xml:space="preserve">Expired coupon.</t>
  </si>
  <si>
    <t xml:space="preserve">1. Enter expired code in New Order</t>
  </si>
  <si>
    <t xml:space="preserve">Coupon rejected with reason.</t>
  </si>
  <si>
    <t xml:space="preserve">TC-J01</t>
  </si>
  <si>
    <t xml:space="preserve">Leads</t>
  </si>
  <si>
    <t xml:space="preserve">Capture</t>
  </si>
  <si>
    <t xml:space="preserve">Website lead appears NEW at top</t>
  </si>
  <si>
    <t xml:space="preserve">1. Submit landing enquiry / create lead</t>
  </si>
  <si>
    <t xml:space="preserve">Lead listed NEW; sales@ notified.</t>
  </si>
  <si>
    <t xml:space="preserve">TC-J02</t>
  </si>
  <si>
    <t xml:space="preserve">Progress</t>
  </si>
  <si>
    <t xml:space="preserve">Move lead through pipeline; WON→client</t>
  </si>
  <si>
    <t xml:space="preserve">Lead exists.</t>
  </si>
  <si>
    <t xml:space="preserve">1. Update lead status to WON</t>
  </si>
  <si>
    <t xml:space="preserve">Lead converts/links to a client with the story retained.</t>
  </si>
  <si>
    <t xml:space="preserve">TC-K01</t>
  </si>
  <si>
    <t xml:space="preserve">List/counts</t>
  </si>
  <si>
    <t xml:space="preserve">Ticket list shows status counts</t>
  </si>
  <si>
    <t xml:space="preserve">Tickets exist.</t>
  </si>
  <si>
    <t xml:space="preserve">1. Open Support</t>
  </si>
  <si>
    <t xml:space="preserve">open/in_progress/resolved/closed counts correct; newest first.</t>
  </si>
  <si>
    <t xml:space="preserve">TC-K02</t>
  </si>
  <si>
    <t xml:space="preserve">Filter</t>
  </si>
  <si>
    <t xml:space="preserve">Filter tickets by status</t>
  </si>
  <si>
    <t xml:space="preserve">1. Filter = open</t>
  </si>
  <si>
    <t xml:space="preserve">Only open tickets shown.</t>
  </si>
  <si>
    <t xml:space="preserve">TC-K03</t>
  </si>
  <si>
    <t xml:space="preserve">Reply email</t>
  </si>
  <si>
    <t xml:space="preserve">Reply emails the client</t>
  </si>
  <si>
    <t xml:space="preserve">Ticket with client email.</t>
  </si>
  <si>
    <t xml:space="preserve">1. Open ticket → add reply → Save &amp; send</t>
  </si>
  <si>
    <t xml:space="preserve">reply text</t>
  </si>
  <si>
    <t xml:space="preserve">Client receives 'Re: your SmartEPT support ticket #..' email.</t>
  </si>
  <si>
    <t xml:space="preserve">TC-K04</t>
  </si>
  <si>
    <t xml:space="preserve">Empty reply</t>
  </si>
  <si>
    <t xml:space="preserve">Status-only change (no reply) still logs timeline</t>
  </si>
  <si>
    <t xml:space="preserve">Ticket open.</t>
  </si>
  <si>
    <t xml:space="preserve">1. Change status without typing a reply
2. Save</t>
  </si>
  <si>
    <t xml:space="preserve">no reply</t>
  </si>
  <si>
    <t xml:space="preserve">Status_change entry recorded; no email sent.</t>
  </si>
  <si>
    <t xml:space="preserve">TC-K05</t>
  </si>
  <si>
    <t xml:space="preserve">Reply length</t>
  </si>
  <si>
    <t xml:space="preserve">Reply over 4000 chars rejected</t>
  </si>
  <si>
    <t xml:space="preserve">1. Paste &gt;4000 char reply</t>
  </si>
  <si>
    <t xml:space="preserve">long text</t>
  </si>
  <si>
    <t xml:space="preserve">Validation error; nothing saved.</t>
  </si>
  <si>
    <t xml:space="preserve">TC-K06</t>
  </si>
  <si>
    <t xml:space="preserve">Client raise</t>
  </si>
  <si>
    <t xml:space="preserve">Client portal can raise a ticket that appears here</t>
  </si>
  <si>
    <t xml:space="preserve">Client portal user.</t>
  </si>
  <si>
    <t xml:space="preserve">1. Client raises ticket in portal</t>
  </si>
  <si>
    <t xml:space="preserve">New ticket appears in the admin support desk.</t>
  </si>
  <si>
    <t xml:space="preserve">TC-L01</t>
  </si>
  <si>
    <t xml:space="preserve">Catalogue</t>
  </si>
  <si>
    <t xml:space="preserve">List download artifacts + files on disk</t>
  </si>
  <si>
    <t xml:space="preserve">1. Open Downloads</t>
  </si>
  <si>
    <t xml:space="preserve">Catalogue, on-disk files and current upload limit shown.</t>
  </si>
  <si>
    <t xml:space="preserve">TC-L02</t>
  </si>
  <si>
    <t xml:space="preserve">Existing file</t>
  </si>
  <si>
    <t xml:space="preserve">Attach a file already in storage/app/downloads</t>
  </si>
  <si>
    <t xml:space="preserve">File placed on server.</t>
  </si>
  <si>
    <t xml:space="preserve">1. Add artifact → 'use a file already on the server' → pick</t>
  </si>
  <si>
    <t xml:space="preserve">installer on disk</t>
  </si>
  <si>
    <t xml:space="preserve">Artifact points to it; size read from disk; no upload needed.</t>
  </si>
  <si>
    <t xml:space="preserve">TC-L03</t>
  </si>
  <si>
    <t xml:space="preserve">Type guard</t>
  </si>
  <si>
    <t xml:space="preserve">Unsupported extension rejected</t>
  </si>
  <si>
    <t xml:space="preserve">1. Upload a .txt as installer</t>
  </si>
  <si>
    <t xml:space="preserve">bad ext</t>
  </si>
  <si>
    <t xml:space="preserve">Clear 'unsupported file type' message.</t>
  </si>
  <si>
    <t xml:space="preserve">TC-L04</t>
  </si>
  <si>
    <t xml:space="preserve">Limits</t>
  </si>
  <si>
    <t xml:space="preserve">Per-client daily/monthly download limits save</t>
  </si>
  <si>
    <t xml:space="preserve">1. Set limits → Save</t>
  </si>
  <si>
    <t xml:space="preserve">free/paid caps</t>
  </si>
  <si>
    <t xml:space="preserve">Limits saved; enforced on client downloads.</t>
  </si>
  <si>
    <t xml:space="preserve">TC-L05</t>
  </si>
  <si>
    <t xml:space="preserve">Delete</t>
  </si>
  <si>
    <t xml:space="preserve">Remove an artifact</t>
  </si>
  <si>
    <t xml:space="preserve">Artifact exists.</t>
  </si>
  <si>
    <t xml:space="preserve">1. Delete artifact</t>
  </si>
  <si>
    <t xml:space="preserve">Artifact removed from catalogue.</t>
  </si>
  <si>
    <t xml:space="preserve">TC-L06</t>
  </si>
  <si>
    <t xml:space="preserve">Post-max</t>
  </si>
  <si>
    <t xml:space="preserve">Over-limit upload gives a clear reason (pre-fix baseline)</t>
  </si>
  <si>
    <t xml:space="preserve">Limit still low.</t>
  </si>
  <si>
    <t xml:space="preserve">1. Upload a file bigger than post_max_size</t>
  </si>
  <si>
    <t xml:space="preserve">oversize</t>
  </si>
  <si>
    <t xml:space="preserve">Friendly message to raise limit or use server-file path (not a blank/500).</t>
  </si>
  <si>
    <t xml:space="preserve">TC-M01</t>
  </si>
  <si>
    <t xml:space="preserve">Storage</t>
  </si>
  <si>
    <t xml:space="preserve">Record</t>
  </si>
  <si>
    <t xml:space="preserve">Record cloud storage usage for a tenant</t>
  </si>
  <si>
    <t xml:space="preserve">Cloud tenant.</t>
  </si>
  <si>
    <t xml:space="preserve">1. Storage → record usage</t>
  </si>
  <si>
    <t xml:space="preserve">50 GB</t>
  </si>
  <si>
    <t xml:space="preserve">Row saved; monthly charge estimated.</t>
  </si>
  <si>
    <t xml:space="preserve">TC-M02</t>
  </si>
  <si>
    <t xml:space="preserve">Billable min</t>
  </si>
  <si>
    <t xml:space="preserve">Billable GB respects the minimum</t>
  </si>
  <si>
    <t xml:space="preserve">Low usage.</t>
  </si>
  <si>
    <t xml:space="preserve">1. Record small usage</t>
  </si>
  <si>
    <t xml:space="preserve">2 GB</t>
  </si>
  <si>
    <t xml:space="preserve">Billable = max(usage, storage_min_gb).</t>
  </si>
  <si>
    <t xml:space="preserve">TC-N01</t>
  </si>
  <si>
    <t xml:space="preserve">Plans</t>
  </si>
  <si>
    <t xml:space="preserve">Edit annual</t>
  </si>
  <si>
    <t xml:space="preserve">Edit a plan's annual rate</t>
  </si>
  <si>
    <t xml:space="preserve">Super admin.</t>
  </si>
  <si>
    <t xml:space="preserve">1. Plans → edit → set annual rate → Save</t>
  </si>
  <si>
    <t xml:space="preserve">₹/device/mo</t>
  </si>
  <si>
    <t xml:space="preserve">Saved; Quarterly &amp; Half-Yearly derive from it.</t>
  </si>
  <si>
    <t xml:space="preserve">TC-N02</t>
  </si>
  <si>
    <t xml:space="preserve">Derivation</t>
  </si>
  <si>
    <t xml:space="preserve">Derived cycles reflect discount settings</t>
  </si>
  <si>
    <t xml:space="preserve">1. Change half-yearly/annual discount % in Settings</t>
  </si>
  <si>
    <t xml:space="preserve">discounts</t>
  </si>
  <si>
    <t xml:space="preserve">Landing, calculator and quotes follow within ~5 min.</t>
  </si>
  <si>
    <t xml:space="preserve">TC-O01</t>
  </si>
  <si>
    <t xml:space="preserve">Settings</t>
  </si>
  <si>
    <t xml:space="preserve">SMTP</t>
  </si>
  <si>
    <t xml:space="preserve">Save SMTP settings &amp; send test email</t>
  </si>
  <si>
    <t xml:space="preserve">1. Settings → SMTP fields → Send test email</t>
  </si>
  <si>
    <t xml:space="preserve">host/port/user</t>
  </si>
  <si>
    <t xml:space="preserve">Settings saved (password encrypted); test email received/status shown.</t>
  </si>
  <si>
    <t xml:space="preserve">TC-O02</t>
  </si>
  <si>
    <t xml:space="preserve">WhatsApp</t>
  </si>
  <si>
    <t xml:space="preserve">WhatsApp business number is admin-editable</t>
  </si>
  <si>
    <t xml:space="preserve">1. Settings → set WhatsApp number</t>
  </si>
  <si>
    <t xml:space="preserve">919000098877</t>
  </si>
  <si>
    <t xml:space="preserve">Saved; used on wa.me buttons/alerts.</t>
  </si>
  <si>
    <t xml:space="preserve">TC-O03</t>
  </si>
  <si>
    <t xml:space="preserve">GST</t>
  </si>
  <si>
    <t xml:space="preserve">GST rate drives invoice tax</t>
  </si>
  <si>
    <t xml:space="preserve">1. Settings → set gst_rate</t>
  </si>
  <si>
    <t xml:space="preserve">18</t>
  </si>
  <si>
    <t xml:space="preserve">Quotes/invoices use the configured rate for INR.</t>
  </si>
  <si>
    <t xml:space="preserve">TC-O04</t>
  </si>
  <si>
    <t xml:space="preserve">Timezone</t>
  </si>
  <si>
    <t xml:space="preserve">Display timezone controls ticket time display</t>
  </si>
  <si>
    <t xml:space="preserve">1. Settings → display_timezone (default Asia/Kolkata)</t>
  </si>
  <si>
    <t xml:space="preserve">Asia/Kolkata</t>
  </si>
  <si>
    <t xml:space="preserve">Ticket times render in the chosen timezone.</t>
  </si>
  <si>
    <t xml:space="preserve">TC-O05</t>
  </si>
  <si>
    <t xml:space="preserve">Encryption</t>
  </si>
  <si>
    <t xml:space="preserve">Sensitive settings stored encrypted</t>
  </si>
  <si>
    <t xml:space="preserve">1. Save SMTP password
2. Inspect DB value</t>
  </si>
  <si>
    <t xml:space="preserve">Password not stored in plaintext.</t>
  </si>
  <si>
    <t xml:space="preserve">TC-P01</t>
  </si>
  <si>
    <t xml:space="preserve">WA Templates</t>
  </si>
  <si>
    <t xml:space="preserve">CRUD</t>
  </si>
  <si>
    <t xml:space="preserve">Create/edit/delete a WhatsApp template</t>
  </si>
  <si>
    <t xml:space="preserve">1. WA templates → create → edit → delete</t>
  </si>
  <si>
    <t xml:space="preserve">Template lifecycle works.</t>
  </si>
  <si>
    <t xml:space="preserve">TC-P02</t>
  </si>
  <si>
    <t xml:space="preserve">Test</t>
  </si>
  <si>
    <t xml:space="preserve">Send a test WhatsApp template</t>
  </si>
  <si>
    <t xml:space="preserve">WA configured.</t>
  </si>
  <si>
    <t xml:space="preserve">1. Template → Test</t>
  </si>
  <si>
    <t xml:space="preserve">Test send attempt reports success/failure clearly.</t>
  </si>
  <si>
    <t xml:space="preserve">TC-Q01</t>
  </si>
  <si>
    <t xml:space="preserve">Admin/RBAC</t>
  </si>
  <si>
    <t xml:space="preserve">Create user</t>
  </si>
  <si>
    <t xml:space="preserve">Create admin user with a role</t>
  </si>
  <si>
    <t xml:space="preserve">1. Admin users → add → role=support</t>
  </si>
  <si>
    <t xml:space="preserve">support</t>
  </si>
  <si>
    <t xml:space="preserve">User created with role.</t>
  </si>
  <si>
    <t xml:space="preserve">TC-Q02</t>
  </si>
  <si>
    <t xml:space="preserve">Support scope</t>
  </si>
  <si>
    <t xml:space="preserve">Support role: read + tickets only</t>
  </si>
  <si>
    <t xml:space="preserve">Support user.</t>
  </si>
  <si>
    <t xml:space="preserve">1. Login as support
2. Attempt a licence/order write</t>
  </si>
  <si>
    <t xml:space="preserve">Write blocked (403); tickets + reads allowed.</t>
  </si>
  <si>
    <t xml:space="preserve">TC-Q03</t>
  </si>
  <si>
    <t xml:space="preserve">Sales scope</t>
  </si>
  <si>
    <t xml:space="preserve">Sales role: business &amp; money, not system config</t>
  </si>
  <si>
    <t xml:space="preserve">Sales user.</t>
  </si>
  <si>
    <t xml:space="preserve">1. Login as sales
2. Attempt admin-user or diagnostics</t>
  </si>
  <si>
    <t xml:space="preserve">Restricted to sales-permitted actions.</t>
  </si>
  <si>
    <t xml:space="preserve">TC-Q04</t>
  </si>
  <si>
    <t xml:space="preserve">Reset pw</t>
  </si>
  <si>
    <t xml:space="preserve">Reset an admin user's password</t>
  </si>
  <si>
    <t xml:space="preserve">1. Admin users → reset password</t>
  </si>
  <si>
    <t xml:space="preserve">New password set; user can log in.</t>
  </si>
  <si>
    <t xml:space="preserve">TC-Q05</t>
  </si>
  <si>
    <t xml:space="preserve">Delete an admin user</t>
  </si>
  <si>
    <t xml:space="preserve">1. Admin users → delete</t>
  </si>
  <si>
    <t xml:space="preserve">User removed; cannot log in.</t>
  </si>
  <si>
    <t xml:space="preserve">TC-Q06</t>
  </si>
  <si>
    <t xml:space="preserve">Self-lock guard</t>
  </si>
  <si>
    <t xml:space="preserve">Cannot remove last super admin / self-lock</t>
  </si>
  <si>
    <t xml:space="preserve">Only one super admin.</t>
  </si>
  <si>
    <t xml:space="preserve">1. Attempt to delete/demote the last super admin</t>
  </si>
  <si>
    <t xml:space="preserve">Blocked to avoid lockout (or clearly warned).</t>
  </si>
  <si>
    <t xml:space="preserve">TC-R01</t>
  </si>
  <si>
    <t xml:space="preserve">Diagnostics</t>
  </si>
  <si>
    <t xml:space="preserve">Health</t>
  </si>
  <si>
    <t xml:space="preserve">System health self-check runs</t>
  </si>
  <si>
    <t xml:space="preserve">1. Open Troubleshooting/Diagnostics</t>
  </si>
  <si>
    <t xml:space="preserve">Checks (DB, mail, storage, scheduler, keys) show green/red with plain-language guidance.</t>
  </si>
  <si>
    <t xml:space="preserve">TC-R02</t>
  </si>
  <si>
    <t xml:space="preserve">Logs</t>
  </si>
  <si>
    <t xml:space="preserve">Recent logs viewer works</t>
  </si>
  <si>
    <t xml:space="preserve">1. Open logs</t>
  </si>
  <si>
    <t xml:space="preserve">Recent log lines shown; no crash on large logs.</t>
  </si>
  <si>
    <t xml:space="preserve">TC-S01</t>
  </si>
  <si>
    <t xml:space="preserve">Audit</t>
  </si>
  <si>
    <t xml:space="preserve">Records</t>
  </si>
  <si>
    <t xml:space="preserve">Sensitive actions are audited</t>
  </si>
  <si>
    <t xml:space="preserve">1. Perform licence.issue, order.paid, ticket.updated
2. Open Audit</t>
  </si>
  <si>
    <t xml:space="preserve">Each action logged with actor, subject, timestamp.</t>
  </si>
  <si>
    <t xml:space="preserve">TC-S02</t>
  </si>
  <si>
    <t xml:space="preserve">Ticket audit</t>
  </si>
  <si>
    <t xml:space="preserve">Ticket update audit shows from→to status &amp; who</t>
  </si>
  <si>
    <t xml:space="preserve">1. Update a ticket → open Audit</t>
  </si>
  <si>
    <t xml:space="preserve">ticket.updated entry has status, from_status, replied, by.</t>
  </si>
  <si>
    <t xml:space="preserve">TC-T01</t>
  </si>
  <si>
    <t xml:space="preserve">Reports</t>
  </si>
  <si>
    <t xml:space="preserve">GST register</t>
  </si>
  <si>
    <t xml:space="preserve">Export GST register CSV</t>
  </si>
  <si>
    <t xml:space="preserve">1. Reports → GST register → date range → export</t>
  </si>
  <si>
    <t xml:space="preserve">FY range</t>
  </si>
  <si>
    <t xml:space="preserve">CSV downloads with correct GST rows.</t>
  </si>
  <si>
    <t xml:space="preserve">TC-T02</t>
  </si>
  <si>
    <t xml:space="preserve">Collections</t>
  </si>
  <si>
    <t xml:space="preserve">Export collections CSV</t>
  </si>
  <si>
    <t xml:space="preserve">1. Reports → collections → export</t>
  </si>
  <si>
    <t xml:space="preserve">range</t>
  </si>
  <si>
    <t xml:space="preserve">CSV of payments received.</t>
  </si>
  <si>
    <t xml:space="preserve">TC-T03</t>
  </si>
  <si>
    <t xml:space="preserve">Outstanding</t>
  </si>
  <si>
    <t xml:space="preserve">Export outstanding CSV</t>
  </si>
  <si>
    <t xml:space="preserve">1. Reports → outstanding → export</t>
  </si>
  <si>
    <t xml:space="preserve">CSV of open balances.</t>
  </si>
  <si>
    <t xml:space="preserve">TC-T04</t>
  </si>
  <si>
    <t xml:space="preserve">CSV safety</t>
  </si>
  <si>
    <t xml:space="preserve">Export neutralises formula-injection &amp; redacts secrets</t>
  </si>
  <si>
    <t xml:space="preserve">1. Export a report containing leading =,+,-,@ values</t>
  </si>
  <si>
    <t xml:space="preserve">Leading =,+,-,@ neutralised; secrets/tokens blanked.</t>
  </si>
  <si>
    <t xml:space="preserve">TC-U01</t>
  </si>
  <si>
    <t xml:space="preserve">Checkout</t>
  </si>
  <si>
    <t xml:space="preserve">Pay page</t>
  </si>
  <si>
    <t xml:space="preserve">Public pay link renders order for payment</t>
  </si>
  <si>
    <t xml:space="preserve">Order with pay link.</t>
  </si>
  <si>
    <t xml:space="preserve">1. Open /pay/{number}/{token}</t>
  </si>
  <si>
    <t xml:space="preserve">Order shown; Razorpay/Stripe options as configured.</t>
  </si>
  <si>
    <t xml:space="preserve">TC-U02</t>
  </si>
  <si>
    <t xml:space="preserve">Bad token</t>
  </si>
  <si>
    <t xml:space="preserve">Tampered pay token rejected</t>
  </si>
  <si>
    <t xml:space="preserve">1. Open pay link with wrong token</t>
  </si>
  <si>
    <t xml:space="preserve">bad token</t>
  </si>
  <si>
    <t xml:space="preserve">Access denied; no order exposed.</t>
  </si>
  <si>
    <t xml:space="preserve">TC-U03</t>
  </si>
  <si>
    <t xml:space="preserve">Webhooks</t>
  </si>
  <si>
    <t xml:space="preserve">Razorpay</t>
  </si>
  <si>
    <t xml:space="preserve">Razorpay webhook records payment idempotently</t>
  </si>
  <si>
    <t xml:space="preserve">1. Send a razorpay webhook (same payment twice)</t>
  </si>
  <si>
    <t xml:space="preserve">dup payment_id</t>
  </si>
  <si>
    <t xml:space="preserve">Recorded once; duplicate ignored.</t>
  </si>
  <si>
    <t xml:space="preserve">TC-U04</t>
  </si>
  <si>
    <t xml:space="preserve">Log</t>
  </si>
  <si>
    <t xml:space="preserve">Webhook events appear in the log</t>
  </si>
  <si>
    <t xml:space="preserve">1. Open Webhooks log</t>
  </si>
  <si>
    <t xml:space="preserve">Recent events listed with status.</t>
  </si>
  <si>
    <t xml:space="preserve">TC-V01</t>
  </si>
  <si>
    <t xml:space="preserve">Cross</t>
  </si>
  <si>
    <t xml:space="preserve">Help</t>
  </si>
  <si>
    <t xml:space="preserve">Every screen has the ⓘ Screen Help popup</t>
  </si>
  <si>
    <t xml:space="preserve">UI/UX</t>
  </si>
  <si>
    <t xml:space="preserve">1. Open a few screens → click ⓘ</t>
  </si>
  <si>
    <t xml:space="preserve">3-tab help (How to use / Why it matters / Do it right) opens, never empty.</t>
  </si>
  <si>
    <t xml:space="preserve">TC-V02</t>
  </si>
  <si>
    <t xml:space="preserve">Errors</t>
  </si>
  <si>
    <t xml:space="preserve">Server errors surface as friendly toasts</t>
  </si>
  <si>
    <t xml:space="preserve">1. Trigger a validation error</t>
  </si>
  <si>
    <t xml:space="preserve">Clear message via toast; no raw stack traces.</t>
  </si>
  <si>
    <t xml:space="preserve">TC-V03</t>
  </si>
  <si>
    <t xml:space="preserve">Money</t>
  </si>
  <si>
    <t xml:space="preserve">₹ amounts and GST format correctly</t>
  </si>
  <si>
    <t xml:space="preserve">1. Inspect totals across orders/invoices</t>
  </si>
  <si>
    <t xml:space="preserve">Indian ₹ formatting; GST shown; totals reconcile.</t>
  </si>
  <si>
    <t xml:space="preserve">TC-V04</t>
  </si>
  <si>
    <t xml:space="preserve">Branding</t>
  </si>
  <si>
    <t xml:space="preserve">Real logo on screens, invoices &amp; PDFs</t>
  </si>
  <si>
    <t xml:space="preserve">1. Open invoice/quote print</t>
  </si>
  <si>
    <t xml:space="preserve">SmartEPT logo present; Ocean Teal theme.</t>
  </si>
  <si>
    <t xml:space="preserve">TC-V05</t>
  </si>
  <si>
    <t xml:space="preserve">Session</t>
  </si>
  <si>
    <t xml:space="preserve">Console persists across refresh; hard-refresh loads latest</t>
  </si>
  <si>
    <t xml:space="preserve">1. Hard refresh (Ctrl+Shift+R)</t>
  </si>
  <si>
    <t xml:space="preserve">Latest console assets load; no stale cache issues.</t>
  </si>
  <si>
    <t xml:space="preserve">Coverage &amp; Progress Summary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</si>
  <si>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</si>
  <si>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</si>
  <si>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</si>
  <si>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</si>
  <si>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</si>
  <si>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TOTAL (module sheet)</t>
  </si>
  <si>
    <t xml:space="preserve">Note: the 10 QA round-2 cases are on the 'Bug-Fix Verification (R2)' sheet; the counts above cover the module 'Test Cases'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</si>
</sst>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E7C8F"/>
      <name val="Arial"/>
      <family val="0"/>
      <charset val="1"/>
    </font>
    <font>
      <b val="true"/>
      <sz val="13"/>
      <color rgb="FF0F1F33"/>
      <name val="Arial"/>
      <family val="0"/>
      <charset val="1"/>
    </font>
    <font>
      <sz val="9"/>
      <color rgb="FF6B7B90"/>
      <name val="Arial"/>
      <family val="0"/>
      <charset val="1"/>
    </font>
    <font>
      <b val="true"/>
      <sz val="9"/>
      <color rgb="FF0F1F33"/>
      <name val="Arial"/>
      <family val="0"/>
      <charset val="1"/>
    </font>
    <font>
      <sz val="9"/>
      <color rgb="FF0F1F33"/>
      <name val="Arial"/>
      <family val="0"/>
      <charset val="1"/>
    </font>
    <font>
      <b val="true"/>
      <sz val="11"/>
      <color rgb="FF0B637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E7C8F"/>
      <name val="Arial"/>
      <family val="0"/>
      <charset val="1"/>
    </font>
    <font>
      <i val="true"/>
      <sz val="8"/>
      <color rgb="FF6B7B9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3F4F7"/>
        <bgColor rgb="FFE5F5EC"/>
      </patternFill>
    </fill>
    <fill>
      <patternFill patternType="solid">
        <fgColor rgb="FF0B6373"/>
        <bgColor rgb="FF0E7C8F"/>
      </patternFill>
    </fill>
    <fill>
      <patternFill patternType="solid">
        <fgColor rgb="FF0E7C8F"/>
        <bgColor rgb="FF0B6373"/>
      </patternFill>
    </fill>
    <fill>
      <patternFill patternType="solid">
        <fgColor rgb="FFFBE7E7"/>
        <bgColor rgb="FFFCEFD9"/>
      </patternFill>
    </fill>
    <fill>
      <patternFill patternType="solid">
        <fgColor rgb="FFF7FAFB"/>
        <bgColor rgb="FFFFFFFF"/>
      </patternFill>
    </fill>
    <fill>
      <patternFill patternType="solid">
        <fgColor rgb="FFFCEFD9"/>
        <bgColor rgb="FFFBE7E7"/>
      </patternFill>
    </fill>
    <fill>
      <patternFill patternType="solid">
        <fgColor rgb="FFE5F5EC"/>
        <bgColor rgb="FFE3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 diagonalUp="false" diagonalDown="false">
      <left style="thin">
        <color rgb="FFD6DEE8"/>
      </left>
      <right/>
      <top style="thin">
        <color rgb="FFD6DEE8"/>
      </top>
      <bottom style="thin">
        <color rgb="FFD6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6373"/>
          <bgColor rgb="FF000000"/>
        </patternFill>
      </fill>
    </dxf>
    <dxf>
      <fill>
        <patternFill patternType="solid">
          <fgColor rgb="FF0E7C8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F"/>
      <rgbColor rgb="FFC0C0C0"/>
      <rgbColor rgb="FF6B7B90"/>
      <rgbColor rgb="FF9999FF"/>
      <rgbColor rgb="FF993366"/>
      <rgbColor rgb="FFFCEFD9"/>
      <rgbColor rgb="FFE3F4F7"/>
      <rgbColor rgb="FF660066"/>
      <rgbColor rgb="FFFF8080"/>
      <rgbColor rgb="FF0066CC"/>
      <rgbColor rgb="FFD6DEE8"/>
      <rgbColor rgb="FF000080"/>
      <rgbColor rgb="FFFF00FF"/>
      <rgbColor rgb="FFFFFF00"/>
      <rgbColor rgb="FF00FFFF"/>
      <rgbColor rgb="FF800080"/>
      <rgbColor rgb="FF800000"/>
      <rgbColor rgb="FF0B6373"/>
      <rgbColor rgb="FF0000FF"/>
      <rgbColor rgb="FF00CCFF"/>
      <rgbColor rgb="FFE5F5EC"/>
      <rgbColor rgb="FFF7FAFB"/>
      <rgbColor rgb="FFFBE7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F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26"/>
    <col collapsed="false" customWidth="true" hidden="false" outlineLevel="0" max="6" min="6" style="0" width="2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</row>
    <row r="3" customFormat="false" ht="16.15" hidden="false" customHeight="false" outlineLevel="0" collapsed="false">
      <c r="B3" s="2" t="s">
        <v>1</v>
      </c>
      <c r="C3" s="2"/>
      <c r="D3" s="2"/>
      <c r="E3" s="2"/>
    </row>
    <row r="4" customFormat="false" ht="15" hidden="false" customHeight="false" outlineLevel="0" collapsed="false">
      <c r="B4" s="3" t="s">
        <v>2</v>
      </c>
      <c r="C4" s="3"/>
      <c r="D4" s="3"/>
      <c r="E4" s="3"/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</row>
    <row r="7" customFormat="false" ht="15" hidden="false" customHeight="true" outlineLevel="0" collapsed="false">
      <c r="B7" s="4" t="s">
        <v>5</v>
      </c>
      <c r="C7" s="5" t="s">
        <v>6</v>
      </c>
      <c r="D7" s="5"/>
      <c r="E7" s="5"/>
    </row>
    <row r="8" customFormat="false" ht="15" hidden="false" customHeight="true" outlineLevel="0" collapsed="false">
      <c r="B8" s="4" t="s">
        <v>7</v>
      </c>
      <c r="C8" s="5" t="s">
        <v>8</v>
      </c>
      <c r="D8" s="5"/>
      <c r="E8" s="5"/>
    </row>
    <row r="9" customFormat="false" ht="15" hidden="false" customHeight="true" outlineLevel="0" collapsed="false">
      <c r="B9" s="4" t="s">
        <v>9</v>
      </c>
      <c r="C9" s="5" t="s">
        <v>10</v>
      </c>
      <c r="D9" s="5"/>
      <c r="E9" s="5"/>
    </row>
    <row r="10" customFormat="false" ht="15" hidden="false" customHeight="true" outlineLevel="0" collapsed="false">
      <c r="B10" s="4" t="s">
        <v>11</v>
      </c>
      <c r="C10" s="5" t="s">
        <v>12</v>
      </c>
      <c r="D10" s="5"/>
      <c r="E10" s="5"/>
    </row>
    <row r="11" customFormat="false" ht="15" hidden="false" customHeight="true" outlineLevel="0" collapsed="false">
      <c r="B11" s="4" t="s">
        <v>13</v>
      </c>
      <c r="C11" s="5" t="s">
        <v>14</v>
      </c>
      <c r="D11" s="5"/>
      <c r="E11" s="5"/>
    </row>
    <row r="12" customFormat="false" ht="15" hidden="false" customHeight="true" outlineLevel="0" collapsed="false">
      <c r="B12" s="4" t="s">
        <v>15</v>
      </c>
      <c r="C12" s="5" t="s">
        <v>16</v>
      </c>
      <c r="D12" s="5"/>
      <c r="E12" s="5"/>
    </row>
    <row r="13" customFormat="false" ht="15" hidden="false" customHeight="true" outlineLevel="0" collapsed="false">
      <c r="B13" s="4" t="s">
        <v>17</v>
      </c>
      <c r="C13" s="5" t="s">
        <v>18</v>
      </c>
      <c r="D13" s="5"/>
      <c r="E13" s="5"/>
    </row>
    <row r="14" customFormat="false" ht="15" hidden="false" customHeight="true" outlineLevel="0" collapsed="false">
      <c r="B14" s="4" t="s">
        <v>19</v>
      </c>
      <c r="C14" s="5" t="s">
        <v>20</v>
      </c>
      <c r="D14" s="5"/>
      <c r="E14" s="5"/>
    </row>
    <row r="16" customFormat="false" ht="15" hidden="false" customHeight="false" outlineLevel="0" collapsed="false">
      <c r="B16" s="6" t="s">
        <v>21</v>
      </c>
    </row>
    <row r="17" customFormat="false" ht="15" hidden="false" customHeight="true" outlineLevel="0" collapsed="false">
      <c r="B17" s="7" t="s">
        <v>22</v>
      </c>
      <c r="C17" s="7"/>
      <c r="D17" s="7"/>
      <c r="E17" s="7"/>
    </row>
    <row r="18" customFormat="false" ht="15" hidden="false" customHeight="true" outlineLevel="0" collapsed="false">
      <c r="B18" s="7" t="s">
        <v>23</v>
      </c>
      <c r="C18" s="7"/>
      <c r="D18" s="7"/>
      <c r="E18" s="7"/>
    </row>
    <row r="19" customFormat="false" ht="15" hidden="false" customHeight="true" outlineLevel="0" collapsed="false">
      <c r="B19" s="7" t="s">
        <v>24</v>
      </c>
      <c r="C19" s="7"/>
      <c r="D19" s="7"/>
      <c r="E19" s="7"/>
    </row>
    <row r="20" customFormat="false" ht="15" hidden="false" customHeight="true" outlineLevel="0" collapsed="false">
      <c r="B20" s="7" t="s">
        <v>25</v>
      </c>
      <c r="C20" s="7"/>
      <c r="D20" s="7"/>
      <c r="E20" s="7"/>
    </row>
  </sheetData>
  <mergeCells count="16">
    <mergeCell ref="B2:E2"/>
    <mergeCell ref="B3:E3"/>
    <mergeCell ref="B4:E4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7:E17"/>
    <mergeCell ref="B18:E18"/>
    <mergeCell ref="B19:E19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11"/>
    <col collapsed="false" customWidth="true" hidden="false" outlineLevel="0" max="13" min="13" style="0" width="16"/>
  </cols>
  <sheetData>
    <row r="1" customFormat="false" ht="21.75" hidden="false" customHeight="true" outlineLevel="0" collapsed="false">
      <c r="A1" s="8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25.5" hidden="false" customHeight="true" outlineLevel="0" collapsed="false">
      <c r="A2" s="9" t="s">
        <v>27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</row>
    <row r="3" customFormat="false" ht="53.7" hidden="false" customHeight="false" outlineLevel="0" collapsed="false">
      <c r="A3" s="10" t="s">
        <v>40</v>
      </c>
      <c r="B3" s="11" t="s">
        <v>41</v>
      </c>
      <c r="C3" s="11" t="s">
        <v>42</v>
      </c>
      <c r="D3" s="11" t="s">
        <v>43</v>
      </c>
      <c r="E3" s="12" t="s">
        <v>44</v>
      </c>
      <c r="F3" s="13" t="s">
        <v>45</v>
      </c>
      <c r="G3" s="11" t="s">
        <v>46</v>
      </c>
      <c r="H3" s="11" t="s">
        <v>47</v>
      </c>
      <c r="I3" s="11" t="s">
        <v>48</v>
      </c>
      <c r="J3" s="11" t="s">
        <v>49</v>
      </c>
      <c r="K3" s="11"/>
      <c r="L3" s="12"/>
      <c r="M3" s="11"/>
    </row>
    <row r="4" customFormat="false" ht="32.8" hidden="false" customHeight="false" outlineLevel="0" collapsed="false">
      <c r="A4" s="14" t="s">
        <v>50</v>
      </c>
      <c r="B4" s="15" t="s">
        <v>41</v>
      </c>
      <c r="C4" s="15" t="s">
        <v>42</v>
      </c>
      <c r="D4" s="15" t="s">
        <v>51</v>
      </c>
      <c r="E4" s="16" t="s">
        <v>44</v>
      </c>
      <c r="F4" s="13" t="s">
        <v>45</v>
      </c>
      <c r="G4" s="15" t="s">
        <v>52</v>
      </c>
      <c r="H4" s="15" t="s">
        <v>53</v>
      </c>
      <c r="I4" s="15" t="s">
        <v>54</v>
      </c>
      <c r="J4" s="15" t="s">
        <v>55</v>
      </c>
      <c r="K4" s="15"/>
      <c r="L4" s="16"/>
      <c r="M4" s="15"/>
    </row>
    <row r="5" customFormat="false" ht="32.8" hidden="false" customHeight="false" outlineLevel="0" collapsed="false">
      <c r="A5" s="10" t="s">
        <v>56</v>
      </c>
      <c r="B5" s="11" t="s">
        <v>41</v>
      </c>
      <c r="C5" s="11" t="s">
        <v>42</v>
      </c>
      <c r="D5" s="11" t="s">
        <v>57</v>
      </c>
      <c r="E5" s="12" t="s">
        <v>44</v>
      </c>
      <c r="F5" s="13" t="s">
        <v>45</v>
      </c>
      <c r="G5" s="11" t="s">
        <v>58</v>
      </c>
      <c r="H5" s="11" t="s">
        <v>59</v>
      </c>
      <c r="I5" s="11" t="s">
        <v>60</v>
      </c>
      <c r="J5" s="11" t="s">
        <v>61</v>
      </c>
      <c r="K5" s="11"/>
      <c r="L5" s="12"/>
      <c r="M5" s="11"/>
    </row>
    <row r="6" customFormat="false" ht="53.7" hidden="false" customHeight="false" outlineLevel="0" collapsed="false">
      <c r="A6" s="14" t="s">
        <v>62</v>
      </c>
      <c r="B6" s="15" t="s">
        <v>63</v>
      </c>
      <c r="C6" s="15" t="s">
        <v>64</v>
      </c>
      <c r="D6" s="15" t="s">
        <v>65</v>
      </c>
      <c r="E6" s="16" t="s">
        <v>44</v>
      </c>
      <c r="F6" s="13" t="s">
        <v>45</v>
      </c>
      <c r="G6" s="15" t="s">
        <v>66</v>
      </c>
      <c r="H6" s="15" t="s">
        <v>67</v>
      </c>
      <c r="I6" s="15" t="s">
        <v>68</v>
      </c>
      <c r="J6" s="15" t="s">
        <v>69</v>
      </c>
      <c r="K6" s="15"/>
      <c r="L6" s="16"/>
      <c r="M6" s="15"/>
    </row>
    <row r="7" customFormat="false" ht="53.7" hidden="false" customHeight="false" outlineLevel="0" collapsed="false">
      <c r="A7" s="10" t="s">
        <v>70</v>
      </c>
      <c r="B7" s="11" t="s">
        <v>71</v>
      </c>
      <c r="C7" s="11" t="s">
        <v>72</v>
      </c>
      <c r="D7" s="11" t="s">
        <v>73</v>
      </c>
      <c r="E7" s="12" t="s">
        <v>44</v>
      </c>
      <c r="F7" s="13" t="s">
        <v>45</v>
      </c>
      <c r="G7" s="11" t="s">
        <v>74</v>
      </c>
      <c r="H7" s="11" t="s">
        <v>75</v>
      </c>
      <c r="I7" s="11" t="s">
        <v>76</v>
      </c>
      <c r="J7" s="11" t="s">
        <v>77</v>
      </c>
      <c r="K7" s="11"/>
      <c r="L7" s="12"/>
      <c r="M7" s="11"/>
    </row>
    <row r="8" customFormat="false" ht="43.25" hidden="false" customHeight="false" outlineLevel="0" collapsed="false">
      <c r="A8" s="14" t="s">
        <v>78</v>
      </c>
      <c r="B8" s="15" t="s">
        <v>71</v>
      </c>
      <c r="C8" s="15" t="s">
        <v>79</v>
      </c>
      <c r="D8" s="15" t="s">
        <v>80</v>
      </c>
      <c r="E8" s="16" t="s">
        <v>44</v>
      </c>
      <c r="F8" s="13" t="s">
        <v>45</v>
      </c>
      <c r="G8" s="15" t="s">
        <v>81</v>
      </c>
      <c r="H8" s="15" t="s">
        <v>82</v>
      </c>
      <c r="I8" s="15" t="s">
        <v>83</v>
      </c>
      <c r="J8" s="15" t="s">
        <v>84</v>
      </c>
      <c r="K8" s="15"/>
      <c r="L8" s="16"/>
      <c r="M8" s="15"/>
    </row>
    <row r="9" customFormat="false" ht="32.8" hidden="false" customHeight="false" outlineLevel="0" collapsed="false">
      <c r="A9" s="10" t="s">
        <v>85</v>
      </c>
      <c r="B9" s="11" t="s">
        <v>71</v>
      </c>
      <c r="C9" s="11" t="s">
        <v>86</v>
      </c>
      <c r="D9" s="11" t="s">
        <v>87</v>
      </c>
      <c r="E9" s="12" t="s">
        <v>44</v>
      </c>
      <c r="F9" s="13" t="s">
        <v>45</v>
      </c>
      <c r="G9" s="11" t="s">
        <v>88</v>
      </c>
      <c r="H9" s="11" t="s">
        <v>89</v>
      </c>
      <c r="I9" s="11" t="s">
        <v>90</v>
      </c>
      <c r="J9" s="11" t="s">
        <v>91</v>
      </c>
      <c r="K9" s="11"/>
      <c r="L9" s="12"/>
      <c r="M9" s="11"/>
    </row>
    <row r="10" customFormat="false" ht="53.7" hidden="false" customHeight="false" outlineLevel="0" collapsed="false">
      <c r="A10" s="14" t="s">
        <v>92</v>
      </c>
      <c r="B10" s="15" t="s">
        <v>93</v>
      </c>
      <c r="C10" s="15" t="s">
        <v>94</v>
      </c>
      <c r="D10" s="15" t="s">
        <v>95</v>
      </c>
      <c r="E10" s="16" t="s">
        <v>44</v>
      </c>
      <c r="F10" s="13" t="s">
        <v>45</v>
      </c>
      <c r="G10" s="15" t="s">
        <v>96</v>
      </c>
      <c r="H10" s="15" t="s">
        <v>97</v>
      </c>
      <c r="I10" s="15" t="s">
        <v>98</v>
      </c>
      <c r="J10" s="15" t="s">
        <v>99</v>
      </c>
      <c r="K10" s="15"/>
      <c r="L10" s="16"/>
      <c r="M10" s="15"/>
    </row>
    <row r="11" customFormat="false" ht="32.8" hidden="false" customHeight="false" outlineLevel="0" collapsed="false">
      <c r="A11" s="10" t="s">
        <v>100</v>
      </c>
      <c r="B11" s="11" t="s">
        <v>63</v>
      </c>
      <c r="C11" s="11" t="s">
        <v>101</v>
      </c>
      <c r="D11" s="11" t="s">
        <v>102</v>
      </c>
      <c r="E11" s="12" t="s">
        <v>44</v>
      </c>
      <c r="F11" s="13" t="s">
        <v>45</v>
      </c>
      <c r="G11" s="11" t="s">
        <v>103</v>
      </c>
      <c r="H11" s="11" t="s">
        <v>104</v>
      </c>
      <c r="I11" s="11" t="s">
        <v>105</v>
      </c>
      <c r="J11" s="11" t="s">
        <v>106</v>
      </c>
      <c r="K11" s="11"/>
      <c r="L11" s="12"/>
      <c r="M11" s="11"/>
    </row>
    <row r="12" customFormat="false" ht="32.8" hidden="false" customHeight="false" outlineLevel="0" collapsed="false">
      <c r="A12" s="14" t="s">
        <v>107</v>
      </c>
      <c r="B12" s="15" t="s">
        <v>71</v>
      </c>
      <c r="C12" s="15" t="s">
        <v>108</v>
      </c>
      <c r="D12" s="15" t="s">
        <v>109</v>
      </c>
      <c r="E12" s="16" t="s">
        <v>44</v>
      </c>
      <c r="F12" s="13" t="s">
        <v>45</v>
      </c>
      <c r="G12" s="15" t="s">
        <v>110</v>
      </c>
      <c r="H12" s="15" t="s">
        <v>111</v>
      </c>
      <c r="I12" s="15" t="s">
        <v>112</v>
      </c>
      <c r="J12" s="15" t="s">
        <v>113</v>
      </c>
      <c r="K12" s="15"/>
      <c r="L12" s="16"/>
      <c r="M12" s="15"/>
    </row>
  </sheetData>
  <autoFilter ref="A2:M2"/>
  <mergeCells count="1">
    <mergeCell ref="A1:M1"/>
  </mergeCells>
  <dataValidations count="1">
    <dataValidation allowBlank="true" errorStyle="stop" operator="between" showDropDown="false" showErrorMessage="false" showInputMessage="false" sqref="L3:L12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  <col collapsed="false" customWidth="true" hidden="false" outlineLevel="0" max="10" min="10" style="0" width="40"/>
    <col collapsed="false" customWidth="true" hidden="false" outlineLevel="0" max="11" min="11" style="0" width="20"/>
    <col collapsed="false" customWidth="true" hidden="false" outlineLevel="0" max="12" min="12" style="0" width="11"/>
    <col collapsed="false" customWidth="true" hidden="false" outlineLevel="0" max="13" min="13" style="0" width="16"/>
  </cols>
  <sheetData>
    <row r="1" customFormat="false" ht="25.5" hidden="false" customHeight="true" outlineLevel="0" collapsed="false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39</v>
      </c>
    </row>
    <row r="2" customFormat="false" ht="32.8" hidden="false" customHeight="false" outlineLevel="0" collapsed="false">
      <c r="A2" s="14" t="s">
        <v>114</v>
      </c>
      <c r="B2" s="15" t="s">
        <v>115</v>
      </c>
      <c r="C2" s="15" t="s">
        <v>116</v>
      </c>
      <c r="D2" s="15" t="s">
        <v>117</v>
      </c>
      <c r="E2" s="16" t="s">
        <v>118</v>
      </c>
      <c r="F2" s="13" t="s">
        <v>45</v>
      </c>
      <c r="G2" s="15" t="s">
        <v>119</v>
      </c>
      <c r="H2" s="15" t="s">
        <v>120</v>
      </c>
      <c r="I2" s="15" t="s">
        <v>121</v>
      </c>
      <c r="J2" s="15" t="s">
        <v>122</v>
      </c>
      <c r="K2" s="15"/>
      <c r="L2" s="16"/>
      <c r="M2" s="15"/>
    </row>
    <row r="3" customFormat="false" ht="32.8" hidden="false" customHeight="false" outlineLevel="0" collapsed="false">
      <c r="A3" s="10" t="s">
        <v>123</v>
      </c>
      <c r="B3" s="11" t="s">
        <v>115</v>
      </c>
      <c r="C3" s="11" t="s">
        <v>116</v>
      </c>
      <c r="D3" s="11" t="s">
        <v>124</v>
      </c>
      <c r="E3" s="12" t="s">
        <v>125</v>
      </c>
      <c r="F3" s="13" t="s">
        <v>45</v>
      </c>
      <c r="G3" s="11" t="s">
        <v>126</v>
      </c>
      <c r="H3" s="11" t="s">
        <v>127</v>
      </c>
      <c r="I3" s="11" t="s">
        <v>128</v>
      </c>
      <c r="J3" s="11" t="s">
        <v>129</v>
      </c>
      <c r="K3" s="11"/>
      <c r="L3" s="12"/>
      <c r="M3" s="11"/>
    </row>
    <row r="4" customFormat="false" ht="22.35" hidden="false" customHeight="false" outlineLevel="0" collapsed="false">
      <c r="A4" s="14" t="s">
        <v>130</v>
      </c>
      <c r="B4" s="15" t="s">
        <v>115</v>
      </c>
      <c r="C4" s="15" t="s">
        <v>131</v>
      </c>
      <c r="D4" s="15" t="s">
        <v>132</v>
      </c>
      <c r="E4" s="16" t="s">
        <v>133</v>
      </c>
      <c r="F4" s="17" t="s">
        <v>134</v>
      </c>
      <c r="G4" s="15" t="s">
        <v>135</v>
      </c>
      <c r="H4" s="15" t="s">
        <v>136</v>
      </c>
      <c r="I4" s="15" t="s">
        <v>137</v>
      </c>
      <c r="J4" s="15" t="s">
        <v>138</v>
      </c>
      <c r="K4" s="15"/>
      <c r="L4" s="16"/>
      <c r="M4" s="15"/>
    </row>
    <row r="5" customFormat="false" ht="15" hidden="false" customHeight="false" outlineLevel="0" collapsed="false">
      <c r="A5" s="10" t="s">
        <v>139</v>
      </c>
      <c r="B5" s="11" t="s">
        <v>115</v>
      </c>
      <c r="C5" s="11" t="s">
        <v>140</v>
      </c>
      <c r="D5" s="11" t="s">
        <v>141</v>
      </c>
      <c r="E5" s="12" t="s">
        <v>118</v>
      </c>
      <c r="F5" s="17" t="s">
        <v>134</v>
      </c>
      <c r="G5" s="11" t="s">
        <v>142</v>
      </c>
      <c r="H5" s="11" t="s">
        <v>143</v>
      </c>
      <c r="I5" s="11" t="s">
        <v>135</v>
      </c>
      <c r="J5" s="11" t="s">
        <v>144</v>
      </c>
      <c r="K5" s="11"/>
      <c r="L5" s="12"/>
      <c r="M5" s="11"/>
    </row>
    <row r="6" customFormat="false" ht="15" hidden="false" customHeight="false" outlineLevel="0" collapsed="false">
      <c r="A6" s="14" t="s">
        <v>145</v>
      </c>
      <c r="B6" s="15" t="s">
        <v>115</v>
      </c>
      <c r="C6" s="15" t="s">
        <v>146</v>
      </c>
      <c r="D6" s="15" t="s">
        <v>147</v>
      </c>
      <c r="E6" s="16" t="s">
        <v>133</v>
      </c>
      <c r="F6" s="13" t="s">
        <v>45</v>
      </c>
      <c r="G6" s="15" t="s">
        <v>148</v>
      </c>
      <c r="H6" s="15" t="s">
        <v>149</v>
      </c>
      <c r="I6" s="15" t="s">
        <v>135</v>
      </c>
      <c r="J6" s="15" t="s">
        <v>150</v>
      </c>
      <c r="K6" s="15"/>
      <c r="L6" s="16"/>
      <c r="M6" s="15"/>
    </row>
    <row r="7" customFormat="false" ht="22.35" hidden="false" customHeight="false" outlineLevel="0" collapsed="false">
      <c r="A7" s="10" t="s">
        <v>151</v>
      </c>
      <c r="B7" s="11" t="s">
        <v>115</v>
      </c>
      <c r="C7" s="11" t="s">
        <v>152</v>
      </c>
      <c r="D7" s="11" t="s">
        <v>153</v>
      </c>
      <c r="E7" s="12" t="s">
        <v>125</v>
      </c>
      <c r="F7" s="18" t="s">
        <v>154</v>
      </c>
      <c r="G7" s="11" t="s">
        <v>126</v>
      </c>
      <c r="H7" s="11" t="s">
        <v>155</v>
      </c>
      <c r="I7" s="11" t="s">
        <v>156</v>
      </c>
      <c r="J7" s="11" t="s">
        <v>157</v>
      </c>
      <c r="K7" s="11"/>
      <c r="L7" s="12"/>
      <c r="M7" s="11"/>
    </row>
    <row r="8" customFormat="false" ht="22.35" hidden="false" customHeight="false" outlineLevel="0" collapsed="false">
      <c r="A8" s="14" t="s">
        <v>158</v>
      </c>
      <c r="B8" s="15" t="s">
        <v>159</v>
      </c>
      <c r="C8" s="15" t="s">
        <v>160</v>
      </c>
      <c r="D8" s="15" t="s">
        <v>161</v>
      </c>
      <c r="E8" s="16" t="s">
        <v>118</v>
      </c>
      <c r="F8" s="17" t="s">
        <v>134</v>
      </c>
      <c r="G8" s="15" t="s">
        <v>162</v>
      </c>
      <c r="H8" s="15" t="s">
        <v>163</v>
      </c>
      <c r="I8" s="15" t="s">
        <v>135</v>
      </c>
      <c r="J8" s="15" t="s">
        <v>164</v>
      </c>
      <c r="K8" s="15"/>
      <c r="L8" s="16"/>
      <c r="M8" s="15"/>
    </row>
    <row r="9" customFormat="false" ht="22.35" hidden="false" customHeight="false" outlineLevel="0" collapsed="false">
      <c r="A9" s="10" t="s">
        <v>165</v>
      </c>
      <c r="B9" s="11" t="s">
        <v>159</v>
      </c>
      <c r="C9" s="11" t="s">
        <v>166</v>
      </c>
      <c r="D9" s="11" t="s">
        <v>167</v>
      </c>
      <c r="E9" s="12" t="s">
        <v>118</v>
      </c>
      <c r="F9" s="18" t="s">
        <v>154</v>
      </c>
      <c r="G9" s="11" t="s">
        <v>135</v>
      </c>
      <c r="H9" s="11" t="s">
        <v>168</v>
      </c>
      <c r="I9" s="11" t="s">
        <v>135</v>
      </c>
      <c r="J9" s="11" t="s">
        <v>169</v>
      </c>
      <c r="K9" s="11"/>
      <c r="L9" s="12"/>
      <c r="M9" s="11"/>
    </row>
    <row r="10" customFormat="false" ht="22.35" hidden="false" customHeight="false" outlineLevel="0" collapsed="false">
      <c r="A10" s="14" t="s">
        <v>170</v>
      </c>
      <c r="B10" s="15" t="s">
        <v>159</v>
      </c>
      <c r="C10" s="15" t="s">
        <v>171</v>
      </c>
      <c r="D10" s="15" t="s">
        <v>172</v>
      </c>
      <c r="E10" s="16" t="s">
        <v>118</v>
      </c>
      <c r="F10" s="18" t="s">
        <v>154</v>
      </c>
      <c r="G10" s="15" t="s">
        <v>173</v>
      </c>
      <c r="H10" s="15" t="s">
        <v>174</v>
      </c>
      <c r="I10" s="15" t="s">
        <v>135</v>
      </c>
      <c r="J10" s="15" t="s">
        <v>175</v>
      </c>
      <c r="K10" s="15"/>
      <c r="L10" s="16"/>
      <c r="M10" s="15"/>
    </row>
    <row r="11" customFormat="false" ht="32.8" hidden="false" customHeight="false" outlineLevel="0" collapsed="false">
      <c r="A11" s="10" t="s">
        <v>176</v>
      </c>
      <c r="B11" s="11" t="s">
        <v>177</v>
      </c>
      <c r="C11" s="11" t="s">
        <v>178</v>
      </c>
      <c r="D11" s="11" t="s">
        <v>179</v>
      </c>
      <c r="E11" s="12" t="s">
        <v>118</v>
      </c>
      <c r="F11" s="13" t="s">
        <v>45</v>
      </c>
      <c r="G11" s="11" t="s">
        <v>180</v>
      </c>
      <c r="H11" s="11" t="s">
        <v>181</v>
      </c>
      <c r="I11" s="11" t="s">
        <v>182</v>
      </c>
      <c r="J11" s="11" t="s">
        <v>183</v>
      </c>
      <c r="K11" s="11"/>
      <c r="L11" s="12"/>
      <c r="M11" s="11"/>
    </row>
    <row r="12" customFormat="false" ht="15" hidden="false" customHeight="false" outlineLevel="0" collapsed="false">
      <c r="A12" s="14" t="s">
        <v>184</v>
      </c>
      <c r="B12" s="15" t="s">
        <v>177</v>
      </c>
      <c r="C12" s="15" t="s">
        <v>185</v>
      </c>
      <c r="D12" s="15" t="s">
        <v>186</v>
      </c>
      <c r="E12" s="16" t="s">
        <v>125</v>
      </c>
      <c r="F12" s="17" t="s">
        <v>134</v>
      </c>
      <c r="G12" s="15" t="s">
        <v>135</v>
      </c>
      <c r="H12" s="15" t="s">
        <v>187</v>
      </c>
      <c r="I12" s="15" t="s">
        <v>188</v>
      </c>
      <c r="J12" s="15" t="s">
        <v>189</v>
      </c>
      <c r="K12" s="15"/>
      <c r="L12" s="16"/>
      <c r="M12" s="15"/>
    </row>
    <row r="13" customFormat="false" ht="22.35" hidden="false" customHeight="false" outlineLevel="0" collapsed="false">
      <c r="A13" s="10" t="s">
        <v>190</v>
      </c>
      <c r="B13" s="11" t="s">
        <v>177</v>
      </c>
      <c r="C13" s="11" t="s">
        <v>191</v>
      </c>
      <c r="D13" s="11" t="s">
        <v>192</v>
      </c>
      <c r="E13" s="12" t="s">
        <v>118</v>
      </c>
      <c r="F13" s="17" t="s">
        <v>134</v>
      </c>
      <c r="G13" s="11" t="s">
        <v>193</v>
      </c>
      <c r="H13" s="11" t="s">
        <v>194</v>
      </c>
      <c r="I13" s="11" t="s">
        <v>135</v>
      </c>
      <c r="J13" s="11" t="s">
        <v>195</v>
      </c>
      <c r="K13" s="11"/>
      <c r="L13" s="12"/>
      <c r="M13" s="11"/>
    </row>
    <row r="14" customFormat="false" ht="32.8" hidden="false" customHeight="false" outlineLevel="0" collapsed="false">
      <c r="A14" s="14" t="s">
        <v>196</v>
      </c>
      <c r="B14" s="15" t="s">
        <v>177</v>
      </c>
      <c r="C14" s="15" t="s">
        <v>197</v>
      </c>
      <c r="D14" s="15" t="s">
        <v>198</v>
      </c>
      <c r="E14" s="16" t="s">
        <v>118</v>
      </c>
      <c r="F14" s="17" t="s">
        <v>134</v>
      </c>
      <c r="G14" s="15" t="s">
        <v>193</v>
      </c>
      <c r="H14" s="15" t="s">
        <v>199</v>
      </c>
      <c r="I14" s="15" t="s">
        <v>200</v>
      </c>
      <c r="J14" s="15" t="s">
        <v>201</v>
      </c>
      <c r="K14" s="15"/>
      <c r="L14" s="16"/>
      <c r="M14" s="15"/>
    </row>
    <row r="15" customFormat="false" ht="22.35" hidden="false" customHeight="false" outlineLevel="0" collapsed="false">
      <c r="A15" s="10" t="s">
        <v>202</v>
      </c>
      <c r="B15" s="11" t="s">
        <v>177</v>
      </c>
      <c r="C15" s="11" t="s">
        <v>203</v>
      </c>
      <c r="D15" s="11" t="s">
        <v>204</v>
      </c>
      <c r="E15" s="12" t="s">
        <v>118</v>
      </c>
      <c r="F15" s="18" t="s">
        <v>154</v>
      </c>
      <c r="G15" s="11" t="s">
        <v>135</v>
      </c>
      <c r="H15" s="11" t="s">
        <v>205</v>
      </c>
      <c r="I15" s="11" t="s">
        <v>206</v>
      </c>
      <c r="J15" s="11" t="s">
        <v>207</v>
      </c>
      <c r="K15" s="11"/>
      <c r="L15" s="12"/>
      <c r="M15" s="11"/>
    </row>
    <row r="16" customFormat="false" ht="15" hidden="false" customHeight="false" outlineLevel="0" collapsed="false">
      <c r="A16" s="14" t="s">
        <v>208</v>
      </c>
      <c r="B16" s="15" t="s">
        <v>41</v>
      </c>
      <c r="C16" s="15" t="s">
        <v>209</v>
      </c>
      <c r="D16" s="15" t="s">
        <v>210</v>
      </c>
      <c r="E16" s="16" t="s">
        <v>118</v>
      </c>
      <c r="F16" s="17" t="s">
        <v>134</v>
      </c>
      <c r="G16" s="15" t="s">
        <v>211</v>
      </c>
      <c r="H16" s="15" t="s">
        <v>212</v>
      </c>
      <c r="I16" s="15" t="s">
        <v>213</v>
      </c>
      <c r="J16" s="15" t="s">
        <v>214</v>
      </c>
      <c r="K16" s="15"/>
      <c r="L16" s="16"/>
      <c r="M16" s="15"/>
    </row>
    <row r="17" customFormat="false" ht="22.35" hidden="false" customHeight="false" outlineLevel="0" collapsed="false">
      <c r="A17" s="10" t="s">
        <v>215</v>
      </c>
      <c r="B17" s="11" t="s">
        <v>41</v>
      </c>
      <c r="C17" s="11" t="s">
        <v>216</v>
      </c>
      <c r="D17" s="11" t="s">
        <v>217</v>
      </c>
      <c r="E17" s="12" t="s">
        <v>118</v>
      </c>
      <c r="F17" s="13" t="s">
        <v>45</v>
      </c>
      <c r="G17" s="11" t="s">
        <v>218</v>
      </c>
      <c r="H17" s="11" t="s">
        <v>219</v>
      </c>
      <c r="I17" s="11" t="s">
        <v>220</v>
      </c>
      <c r="J17" s="11" t="s">
        <v>221</v>
      </c>
      <c r="K17" s="11"/>
      <c r="L17" s="12"/>
      <c r="M17" s="11"/>
    </row>
    <row r="18" customFormat="false" ht="15" hidden="false" customHeight="false" outlineLevel="0" collapsed="false">
      <c r="A18" s="14" t="s">
        <v>222</v>
      </c>
      <c r="B18" s="15" t="s">
        <v>41</v>
      </c>
      <c r="C18" s="15" t="s">
        <v>223</v>
      </c>
      <c r="D18" s="15" t="s">
        <v>224</v>
      </c>
      <c r="E18" s="16" t="s">
        <v>118</v>
      </c>
      <c r="F18" s="17" t="s">
        <v>134</v>
      </c>
      <c r="G18" s="15" t="s">
        <v>135</v>
      </c>
      <c r="H18" s="15" t="s">
        <v>225</v>
      </c>
      <c r="I18" s="15" t="s">
        <v>226</v>
      </c>
      <c r="J18" s="15" t="s">
        <v>227</v>
      </c>
      <c r="K18" s="15"/>
      <c r="L18" s="16"/>
      <c r="M18" s="15"/>
    </row>
    <row r="19" customFormat="false" ht="15" hidden="false" customHeight="false" outlineLevel="0" collapsed="false">
      <c r="A19" s="10" t="s">
        <v>228</v>
      </c>
      <c r="B19" s="11" t="s">
        <v>41</v>
      </c>
      <c r="C19" s="11" t="s">
        <v>229</v>
      </c>
      <c r="D19" s="11" t="s">
        <v>230</v>
      </c>
      <c r="E19" s="12" t="s">
        <v>118</v>
      </c>
      <c r="F19" s="17" t="s">
        <v>134</v>
      </c>
      <c r="G19" s="11" t="s">
        <v>135</v>
      </c>
      <c r="H19" s="11" t="s">
        <v>231</v>
      </c>
      <c r="I19" s="11" t="s">
        <v>232</v>
      </c>
      <c r="J19" s="11" t="s">
        <v>233</v>
      </c>
      <c r="K19" s="11"/>
      <c r="L19" s="12"/>
      <c r="M19" s="11"/>
    </row>
    <row r="20" customFormat="false" ht="22.35" hidden="false" customHeight="false" outlineLevel="0" collapsed="false">
      <c r="A20" s="14" t="s">
        <v>234</v>
      </c>
      <c r="B20" s="15" t="s">
        <v>41</v>
      </c>
      <c r="C20" s="15" t="s">
        <v>235</v>
      </c>
      <c r="D20" s="15" t="s">
        <v>236</v>
      </c>
      <c r="E20" s="16" t="s">
        <v>118</v>
      </c>
      <c r="F20" s="13" t="s">
        <v>45</v>
      </c>
      <c r="G20" s="15" t="s">
        <v>237</v>
      </c>
      <c r="H20" s="15" t="s">
        <v>238</v>
      </c>
      <c r="I20" s="15" t="s">
        <v>239</v>
      </c>
      <c r="J20" s="15" t="s">
        <v>240</v>
      </c>
      <c r="K20" s="15"/>
      <c r="L20" s="16"/>
      <c r="M20" s="15"/>
    </row>
    <row r="21" customFormat="false" ht="22.35" hidden="false" customHeight="false" outlineLevel="0" collapsed="false">
      <c r="A21" s="10" t="s">
        <v>241</v>
      </c>
      <c r="B21" s="11" t="s">
        <v>41</v>
      </c>
      <c r="C21" s="11" t="s">
        <v>242</v>
      </c>
      <c r="D21" s="11" t="s">
        <v>243</v>
      </c>
      <c r="E21" s="12" t="s">
        <v>118</v>
      </c>
      <c r="F21" s="17" t="s">
        <v>134</v>
      </c>
      <c r="G21" s="11" t="s">
        <v>244</v>
      </c>
      <c r="H21" s="11" t="s">
        <v>245</v>
      </c>
      <c r="I21" s="11" t="s">
        <v>246</v>
      </c>
      <c r="J21" s="11" t="s">
        <v>247</v>
      </c>
      <c r="K21" s="11"/>
      <c r="L21" s="12"/>
      <c r="M21" s="11"/>
    </row>
    <row r="22" customFormat="false" ht="22.35" hidden="false" customHeight="false" outlineLevel="0" collapsed="false">
      <c r="A22" s="14" t="s">
        <v>248</v>
      </c>
      <c r="B22" s="15" t="s">
        <v>41</v>
      </c>
      <c r="C22" s="15" t="s">
        <v>249</v>
      </c>
      <c r="D22" s="15" t="s">
        <v>250</v>
      </c>
      <c r="E22" s="16" t="s">
        <v>125</v>
      </c>
      <c r="F22" s="17" t="s">
        <v>134</v>
      </c>
      <c r="G22" s="15" t="s">
        <v>251</v>
      </c>
      <c r="H22" s="15" t="s">
        <v>252</v>
      </c>
      <c r="I22" s="15" t="s">
        <v>253</v>
      </c>
      <c r="J22" s="15" t="s">
        <v>254</v>
      </c>
      <c r="K22" s="15"/>
      <c r="L22" s="16"/>
      <c r="M22" s="15"/>
    </row>
    <row r="23" customFormat="false" ht="22.35" hidden="false" customHeight="false" outlineLevel="0" collapsed="false">
      <c r="A23" s="10" t="s">
        <v>255</v>
      </c>
      <c r="B23" s="11" t="s">
        <v>41</v>
      </c>
      <c r="C23" s="11" t="s">
        <v>256</v>
      </c>
      <c r="D23" s="11" t="s">
        <v>257</v>
      </c>
      <c r="E23" s="12" t="s">
        <v>118</v>
      </c>
      <c r="F23" s="17" t="s">
        <v>134</v>
      </c>
      <c r="G23" s="11" t="s">
        <v>237</v>
      </c>
      <c r="H23" s="11" t="s">
        <v>258</v>
      </c>
      <c r="I23" s="11" t="s">
        <v>135</v>
      </c>
      <c r="J23" s="11" t="s">
        <v>259</v>
      </c>
      <c r="K23" s="11"/>
      <c r="L23" s="12"/>
      <c r="M23" s="11"/>
    </row>
    <row r="24" customFormat="false" ht="22.35" hidden="false" customHeight="false" outlineLevel="0" collapsed="false">
      <c r="A24" s="14" t="s">
        <v>260</v>
      </c>
      <c r="B24" s="15" t="s">
        <v>41</v>
      </c>
      <c r="C24" s="15" t="s">
        <v>261</v>
      </c>
      <c r="D24" s="15" t="s">
        <v>262</v>
      </c>
      <c r="E24" s="16" t="s">
        <v>118</v>
      </c>
      <c r="F24" s="17" t="s">
        <v>134</v>
      </c>
      <c r="G24" s="15" t="s">
        <v>237</v>
      </c>
      <c r="H24" s="15" t="s">
        <v>263</v>
      </c>
      <c r="I24" s="15" t="s">
        <v>135</v>
      </c>
      <c r="J24" s="15" t="s">
        <v>264</v>
      </c>
      <c r="K24" s="15"/>
      <c r="L24" s="16"/>
      <c r="M24" s="15"/>
    </row>
    <row r="25" customFormat="false" ht="15" hidden="false" customHeight="false" outlineLevel="0" collapsed="false">
      <c r="A25" s="10" t="s">
        <v>265</v>
      </c>
      <c r="B25" s="11" t="s">
        <v>41</v>
      </c>
      <c r="C25" s="11" t="s">
        <v>266</v>
      </c>
      <c r="D25" s="11" t="s">
        <v>267</v>
      </c>
      <c r="E25" s="12" t="s">
        <v>118</v>
      </c>
      <c r="F25" s="18" t="s">
        <v>154</v>
      </c>
      <c r="G25" s="11" t="s">
        <v>268</v>
      </c>
      <c r="H25" s="11" t="s">
        <v>269</v>
      </c>
      <c r="I25" s="11" t="s">
        <v>135</v>
      </c>
      <c r="J25" s="11" t="s">
        <v>270</v>
      </c>
      <c r="K25" s="11"/>
      <c r="L25" s="12"/>
      <c r="M25" s="11"/>
    </row>
    <row r="26" customFormat="false" ht="22.35" hidden="false" customHeight="false" outlineLevel="0" collapsed="false">
      <c r="A26" s="14" t="s">
        <v>271</v>
      </c>
      <c r="B26" s="15" t="s">
        <v>41</v>
      </c>
      <c r="C26" s="15" t="s">
        <v>272</v>
      </c>
      <c r="D26" s="15" t="s">
        <v>273</v>
      </c>
      <c r="E26" s="16" t="s">
        <v>118</v>
      </c>
      <c r="F26" s="17" t="s">
        <v>134</v>
      </c>
      <c r="G26" s="15" t="s">
        <v>274</v>
      </c>
      <c r="H26" s="15" t="s">
        <v>275</v>
      </c>
      <c r="I26" s="15" t="s">
        <v>276</v>
      </c>
      <c r="J26" s="15" t="s">
        <v>277</v>
      </c>
      <c r="K26" s="15"/>
      <c r="L26" s="16"/>
      <c r="M26" s="15"/>
    </row>
    <row r="27" customFormat="false" ht="22.35" hidden="false" customHeight="false" outlineLevel="0" collapsed="false">
      <c r="A27" s="10" t="s">
        <v>278</v>
      </c>
      <c r="B27" s="11" t="s">
        <v>41</v>
      </c>
      <c r="C27" s="11" t="s">
        <v>272</v>
      </c>
      <c r="D27" s="11" t="s">
        <v>279</v>
      </c>
      <c r="E27" s="12" t="s">
        <v>118</v>
      </c>
      <c r="F27" s="18" t="s">
        <v>154</v>
      </c>
      <c r="G27" s="11" t="s">
        <v>274</v>
      </c>
      <c r="H27" s="11" t="s">
        <v>280</v>
      </c>
      <c r="I27" s="11" t="s">
        <v>135</v>
      </c>
      <c r="J27" s="11" t="s">
        <v>281</v>
      </c>
      <c r="K27" s="11"/>
      <c r="L27" s="12"/>
      <c r="M27" s="11"/>
    </row>
    <row r="28" customFormat="false" ht="22.35" hidden="false" customHeight="false" outlineLevel="0" collapsed="false">
      <c r="A28" s="14" t="s">
        <v>282</v>
      </c>
      <c r="B28" s="15" t="s">
        <v>41</v>
      </c>
      <c r="C28" s="15" t="s">
        <v>272</v>
      </c>
      <c r="D28" s="15" t="s">
        <v>283</v>
      </c>
      <c r="E28" s="16" t="s">
        <v>125</v>
      </c>
      <c r="F28" s="18" t="s">
        <v>154</v>
      </c>
      <c r="G28" s="15" t="s">
        <v>284</v>
      </c>
      <c r="H28" s="15" t="s">
        <v>285</v>
      </c>
      <c r="I28" s="15" t="s">
        <v>135</v>
      </c>
      <c r="J28" s="15" t="s">
        <v>286</v>
      </c>
      <c r="K28" s="15"/>
      <c r="L28" s="16"/>
      <c r="M28" s="15"/>
    </row>
    <row r="29" customFormat="false" ht="15" hidden="false" customHeight="false" outlineLevel="0" collapsed="false">
      <c r="A29" s="10" t="s">
        <v>287</v>
      </c>
      <c r="B29" s="11" t="s">
        <v>41</v>
      </c>
      <c r="C29" s="11" t="s">
        <v>288</v>
      </c>
      <c r="D29" s="11" t="s">
        <v>289</v>
      </c>
      <c r="E29" s="12" t="s">
        <v>118</v>
      </c>
      <c r="F29" s="18" t="s">
        <v>154</v>
      </c>
      <c r="G29" s="11" t="s">
        <v>290</v>
      </c>
      <c r="H29" s="11" t="s">
        <v>291</v>
      </c>
      <c r="I29" s="11" t="s">
        <v>292</v>
      </c>
      <c r="J29" s="11" t="s">
        <v>293</v>
      </c>
      <c r="K29" s="11"/>
      <c r="L29" s="12"/>
      <c r="M29" s="11"/>
    </row>
    <row r="30" customFormat="false" ht="15" hidden="false" customHeight="false" outlineLevel="0" collapsed="false">
      <c r="A30" s="14" t="s">
        <v>294</v>
      </c>
      <c r="B30" s="15" t="s">
        <v>63</v>
      </c>
      <c r="C30" s="15" t="s">
        <v>295</v>
      </c>
      <c r="D30" s="15" t="s">
        <v>296</v>
      </c>
      <c r="E30" s="16" t="s">
        <v>118</v>
      </c>
      <c r="F30" s="17" t="s">
        <v>134</v>
      </c>
      <c r="G30" s="15" t="s">
        <v>218</v>
      </c>
      <c r="H30" s="15" t="s">
        <v>297</v>
      </c>
      <c r="I30" s="15" t="s">
        <v>298</v>
      </c>
      <c r="J30" s="15" t="s">
        <v>299</v>
      </c>
      <c r="K30" s="15"/>
      <c r="L30" s="16"/>
      <c r="M30" s="15"/>
    </row>
    <row r="31" customFormat="false" ht="22.35" hidden="false" customHeight="false" outlineLevel="0" collapsed="false">
      <c r="A31" s="10" t="s">
        <v>300</v>
      </c>
      <c r="B31" s="11" t="s">
        <v>63</v>
      </c>
      <c r="C31" s="11" t="s">
        <v>301</v>
      </c>
      <c r="D31" s="11" t="s">
        <v>302</v>
      </c>
      <c r="E31" s="12" t="s">
        <v>118</v>
      </c>
      <c r="F31" s="13" t="s">
        <v>45</v>
      </c>
      <c r="G31" s="11" t="s">
        <v>303</v>
      </c>
      <c r="H31" s="11" t="s">
        <v>304</v>
      </c>
      <c r="I31" s="11" t="s">
        <v>305</v>
      </c>
      <c r="J31" s="11" t="s">
        <v>306</v>
      </c>
      <c r="K31" s="11"/>
      <c r="L31" s="12"/>
      <c r="M31" s="11"/>
    </row>
    <row r="32" customFormat="false" ht="22.35" hidden="false" customHeight="false" outlineLevel="0" collapsed="false">
      <c r="A32" s="14" t="s">
        <v>307</v>
      </c>
      <c r="B32" s="15" t="s">
        <v>63</v>
      </c>
      <c r="C32" s="15" t="s">
        <v>308</v>
      </c>
      <c r="D32" s="15" t="s">
        <v>309</v>
      </c>
      <c r="E32" s="16" t="s">
        <v>118</v>
      </c>
      <c r="F32" s="17" t="s">
        <v>134</v>
      </c>
      <c r="G32" s="15" t="s">
        <v>135</v>
      </c>
      <c r="H32" s="15" t="s">
        <v>310</v>
      </c>
      <c r="I32" s="15" t="s">
        <v>311</v>
      </c>
      <c r="J32" s="15" t="s">
        <v>312</v>
      </c>
      <c r="K32" s="15"/>
      <c r="L32" s="16"/>
      <c r="M32" s="15"/>
    </row>
    <row r="33" customFormat="false" ht="22.35" hidden="false" customHeight="false" outlineLevel="0" collapsed="false">
      <c r="A33" s="10" t="s">
        <v>313</v>
      </c>
      <c r="B33" s="11" t="s">
        <v>63</v>
      </c>
      <c r="C33" s="11" t="s">
        <v>314</v>
      </c>
      <c r="D33" s="11" t="s">
        <v>315</v>
      </c>
      <c r="E33" s="12" t="s">
        <v>118</v>
      </c>
      <c r="F33" s="13" t="s">
        <v>45</v>
      </c>
      <c r="G33" s="11" t="s">
        <v>316</v>
      </c>
      <c r="H33" s="11" t="s">
        <v>317</v>
      </c>
      <c r="I33" s="11" t="s">
        <v>318</v>
      </c>
      <c r="J33" s="11" t="s">
        <v>319</v>
      </c>
      <c r="K33" s="11"/>
      <c r="L33" s="12"/>
      <c r="M33" s="11"/>
    </row>
    <row r="34" customFormat="false" ht="22.35" hidden="false" customHeight="false" outlineLevel="0" collapsed="false">
      <c r="A34" s="14" t="s">
        <v>320</v>
      </c>
      <c r="B34" s="15" t="s">
        <v>63</v>
      </c>
      <c r="C34" s="15" t="s">
        <v>321</v>
      </c>
      <c r="D34" s="15" t="s">
        <v>322</v>
      </c>
      <c r="E34" s="16" t="s">
        <v>118</v>
      </c>
      <c r="F34" s="13" t="s">
        <v>45</v>
      </c>
      <c r="G34" s="15" t="s">
        <v>316</v>
      </c>
      <c r="H34" s="15" t="s">
        <v>323</v>
      </c>
      <c r="I34" s="15" t="s">
        <v>324</v>
      </c>
      <c r="J34" s="15" t="s">
        <v>325</v>
      </c>
      <c r="K34" s="15"/>
      <c r="L34" s="16"/>
      <c r="M34" s="15"/>
    </row>
    <row r="35" customFormat="false" ht="15" hidden="false" customHeight="false" outlineLevel="0" collapsed="false">
      <c r="A35" s="10" t="s">
        <v>326</v>
      </c>
      <c r="B35" s="11" t="s">
        <v>63</v>
      </c>
      <c r="C35" s="11" t="s">
        <v>327</v>
      </c>
      <c r="D35" s="11" t="s">
        <v>328</v>
      </c>
      <c r="E35" s="12" t="s">
        <v>125</v>
      </c>
      <c r="F35" s="17" t="s">
        <v>134</v>
      </c>
      <c r="G35" s="11" t="s">
        <v>316</v>
      </c>
      <c r="H35" s="11" t="s">
        <v>329</v>
      </c>
      <c r="I35" s="11" t="s">
        <v>330</v>
      </c>
      <c r="J35" s="11" t="s">
        <v>331</v>
      </c>
      <c r="K35" s="11"/>
      <c r="L35" s="12"/>
      <c r="M35" s="11"/>
    </row>
    <row r="36" customFormat="false" ht="22.35" hidden="false" customHeight="false" outlineLevel="0" collapsed="false">
      <c r="A36" s="14" t="s">
        <v>332</v>
      </c>
      <c r="B36" s="15" t="s">
        <v>63</v>
      </c>
      <c r="C36" s="15" t="s">
        <v>333</v>
      </c>
      <c r="D36" s="15" t="s">
        <v>334</v>
      </c>
      <c r="E36" s="16" t="s">
        <v>118</v>
      </c>
      <c r="F36" s="17" t="s">
        <v>134</v>
      </c>
      <c r="G36" s="15" t="s">
        <v>316</v>
      </c>
      <c r="H36" s="15" t="s">
        <v>335</v>
      </c>
      <c r="I36" s="15" t="s">
        <v>336</v>
      </c>
      <c r="J36" s="15" t="s">
        <v>337</v>
      </c>
      <c r="K36" s="15"/>
      <c r="L36" s="16"/>
      <c r="M36" s="15"/>
    </row>
    <row r="37" customFormat="false" ht="22.35" hidden="false" customHeight="false" outlineLevel="0" collapsed="false">
      <c r="A37" s="10" t="s">
        <v>338</v>
      </c>
      <c r="B37" s="11" t="s">
        <v>63</v>
      </c>
      <c r="C37" s="11" t="s">
        <v>339</v>
      </c>
      <c r="D37" s="11" t="s">
        <v>340</v>
      </c>
      <c r="E37" s="12" t="s">
        <v>118</v>
      </c>
      <c r="F37" s="17" t="s">
        <v>134</v>
      </c>
      <c r="G37" s="11" t="s">
        <v>341</v>
      </c>
      <c r="H37" s="11" t="s">
        <v>342</v>
      </c>
      <c r="I37" s="11" t="s">
        <v>343</v>
      </c>
      <c r="J37" s="11" t="s">
        <v>344</v>
      </c>
      <c r="K37" s="11"/>
      <c r="L37" s="12"/>
      <c r="M37" s="11"/>
    </row>
    <row r="38" customFormat="false" ht="15" hidden="false" customHeight="false" outlineLevel="0" collapsed="false">
      <c r="A38" s="14" t="s">
        <v>345</v>
      </c>
      <c r="B38" s="15" t="s">
        <v>63</v>
      </c>
      <c r="C38" s="15" t="s">
        <v>346</v>
      </c>
      <c r="D38" s="15" t="s">
        <v>347</v>
      </c>
      <c r="E38" s="16" t="s">
        <v>125</v>
      </c>
      <c r="F38" s="17" t="s">
        <v>134</v>
      </c>
      <c r="G38" s="15" t="s">
        <v>348</v>
      </c>
      <c r="H38" s="15" t="s">
        <v>349</v>
      </c>
      <c r="I38" s="15" t="s">
        <v>350</v>
      </c>
      <c r="J38" s="15" t="s">
        <v>351</v>
      </c>
      <c r="K38" s="15"/>
      <c r="L38" s="16"/>
      <c r="M38" s="15"/>
    </row>
    <row r="39" customFormat="false" ht="22.35" hidden="false" customHeight="false" outlineLevel="0" collapsed="false">
      <c r="A39" s="10" t="s">
        <v>352</v>
      </c>
      <c r="B39" s="11" t="s">
        <v>63</v>
      </c>
      <c r="C39" s="11" t="s">
        <v>353</v>
      </c>
      <c r="D39" s="11" t="s">
        <v>354</v>
      </c>
      <c r="E39" s="12" t="s">
        <v>118</v>
      </c>
      <c r="F39" s="17" t="s">
        <v>134</v>
      </c>
      <c r="G39" s="11" t="s">
        <v>355</v>
      </c>
      <c r="H39" s="11" t="s">
        <v>356</v>
      </c>
      <c r="I39" s="11" t="s">
        <v>357</v>
      </c>
      <c r="J39" s="11" t="s">
        <v>358</v>
      </c>
      <c r="K39" s="11"/>
      <c r="L39" s="12"/>
      <c r="M39" s="11"/>
    </row>
    <row r="40" customFormat="false" ht="15" hidden="false" customHeight="false" outlineLevel="0" collapsed="false">
      <c r="A40" s="14" t="s">
        <v>359</v>
      </c>
      <c r="B40" s="15" t="s">
        <v>63</v>
      </c>
      <c r="C40" s="15" t="s">
        <v>360</v>
      </c>
      <c r="D40" s="15" t="s">
        <v>361</v>
      </c>
      <c r="E40" s="16" t="s">
        <v>125</v>
      </c>
      <c r="F40" s="18" t="s">
        <v>154</v>
      </c>
      <c r="G40" s="15" t="s">
        <v>135</v>
      </c>
      <c r="H40" s="15" t="s">
        <v>362</v>
      </c>
      <c r="I40" s="15" t="s">
        <v>363</v>
      </c>
      <c r="J40" s="15" t="s">
        <v>364</v>
      </c>
      <c r="K40" s="15"/>
      <c r="L40" s="16"/>
      <c r="M40" s="15"/>
    </row>
    <row r="41" customFormat="false" ht="22.35" hidden="false" customHeight="false" outlineLevel="0" collapsed="false">
      <c r="A41" s="10" t="s">
        <v>365</v>
      </c>
      <c r="B41" s="11" t="s">
        <v>63</v>
      </c>
      <c r="C41" s="11" t="s">
        <v>366</v>
      </c>
      <c r="D41" s="11" t="s">
        <v>367</v>
      </c>
      <c r="E41" s="12" t="s">
        <v>118</v>
      </c>
      <c r="F41" s="17" t="s">
        <v>134</v>
      </c>
      <c r="G41" s="11" t="s">
        <v>368</v>
      </c>
      <c r="H41" s="11" t="s">
        <v>369</v>
      </c>
      <c r="I41" s="11" t="s">
        <v>305</v>
      </c>
      <c r="J41" s="11" t="s">
        <v>370</v>
      </c>
      <c r="K41" s="11"/>
      <c r="L41" s="12"/>
      <c r="M41" s="11"/>
    </row>
    <row r="42" customFormat="false" ht="15" hidden="false" customHeight="false" outlineLevel="0" collapsed="false">
      <c r="A42" s="14" t="s">
        <v>371</v>
      </c>
      <c r="B42" s="15" t="s">
        <v>63</v>
      </c>
      <c r="C42" s="15" t="s">
        <v>372</v>
      </c>
      <c r="D42" s="15" t="s">
        <v>373</v>
      </c>
      <c r="E42" s="16" t="s">
        <v>125</v>
      </c>
      <c r="F42" s="18" t="s">
        <v>154</v>
      </c>
      <c r="G42" s="15" t="s">
        <v>374</v>
      </c>
      <c r="H42" s="15" t="s">
        <v>375</v>
      </c>
      <c r="I42" s="15" t="s">
        <v>135</v>
      </c>
      <c r="J42" s="15" t="s">
        <v>376</v>
      </c>
      <c r="K42" s="15"/>
      <c r="L42" s="16"/>
      <c r="M42" s="15"/>
    </row>
    <row r="43" customFormat="false" ht="15" hidden="false" customHeight="false" outlineLevel="0" collapsed="false">
      <c r="A43" s="10" t="s">
        <v>377</v>
      </c>
      <c r="B43" s="11" t="s">
        <v>63</v>
      </c>
      <c r="C43" s="11" t="s">
        <v>378</v>
      </c>
      <c r="D43" s="11" t="s">
        <v>379</v>
      </c>
      <c r="E43" s="12" t="s">
        <v>118</v>
      </c>
      <c r="F43" s="18" t="s">
        <v>154</v>
      </c>
      <c r="G43" s="11" t="s">
        <v>380</v>
      </c>
      <c r="H43" s="11" t="s">
        <v>381</v>
      </c>
      <c r="I43" s="11" t="s">
        <v>135</v>
      </c>
      <c r="J43" s="11" t="s">
        <v>382</v>
      </c>
      <c r="K43" s="11"/>
      <c r="L43" s="12"/>
      <c r="M43" s="11"/>
    </row>
    <row r="44" customFormat="false" ht="22.35" hidden="false" customHeight="false" outlineLevel="0" collapsed="false">
      <c r="A44" s="14" t="s">
        <v>383</v>
      </c>
      <c r="B44" s="15" t="s">
        <v>63</v>
      </c>
      <c r="C44" s="15" t="s">
        <v>384</v>
      </c>
      <c r="D44" s="15" t="s">
        <v>385</v>
      </c>
      <c r="E44" s="16" t="s">
        <v>118</v>
      </c>
      <c r="F44" s="17" t="s">
        <v>134</v>
      </c>
      <c r="G44" s="15" t="s">
        <v>386</v>
      </c>
      <c r="H44" s="15" t="s">
        <v>387</v>
      </c>
      <c r="I44" s="15" t="s">
        <v>388</v>
      </c>
      <c r="J44" s="15" t="s">
        <v>389</v>
      </c>
      <c r="K44" s="15"/>
      <c r="L44" s="16"/>
      <c r="M44" s="15"/>
    </row>
    <row r="45" customFormat="false" ht="22.35" hidden="false" customHeight="false" outlineLevel="0" collapsed="false">
      <c r="A45" s="10" t="s">
        <v>390</v>
      </c>
      <c r="B45" s="11" t="s">
        <v>391</v>
      </c>
      <c r="C45" s="11" t="s">
        <v>392</v>
      </c>
      <c r="D45" s="11" t="s">
        <v>393</v>
      </c>
      <c r="E45" s="12" t="s">
        <v>118</v>
      </c>
      <c r="F45" s="17" t="s">
        <v>134</v>
      </c>
      <c r="G45" s="11" t="s">
        <v>394</v>
      </c>
      <c r="H45" s="11" t="s">
        <v>395</v>
      </c>
      <c r="I45" s="11" t="s">
        <v>135</v>
      </c>
      <c r="J45" s="11" t="s">
        <v>396</v>
      </c>
      <c r="K45" s="11"/>
      <c r="L45" s="12"/>
      <c r="M45" s="11"/>
    </row>
    <row r="46" customFormat="false" ht="22.35" hidden="false" customHeight="false" outlineLevel="0" collapsed="false">
      <c r="A46" s="14" t="s">
        <v>397</v>
      </c>
      <c r="B46" s="15" t="s">
        <v>391</v>
      </c>
      <c r="C46" s="15" t="s">
        <v>398</v>
      </c>
      <c r="D46" s="15" t="s">
        <v>399</v>
      </c>
      <c r="E46" s="16" t="s">
        <v>118</v>
      </c>
      <c r="F46" s="17" t="s">
        <v>134</v>
      </c>
      <c r="G46" s="15" t="s">
        <v>400</v>
      </c>
      <c r="H46" s="15" t="s">
        <v>401</v>
      </c>
      <c r="I46" s="15" t="s">
        <v>402</v>
      </c>
      <c r="J46" s="15" t="s">
        <v>403</v>
      </c>
      <c r="K46" s="15"/>
      <c r="L46" s="16"/>
      <c r="M46" s="15"/>
    </row>
    <row r="47" customFormat="false" ht="15" hidden="false" customHeight="false" outlineLevel="0" collapsed="false">
      <c r="A47" s="10" t="s">
        <v>404</v>
      </c>
      <c r="B47" s="11" t="s">
        <v>391</v>
      </c>
      <c r="C47" s="11" t="s">
        <v>405</v>
      </c>
      <c r="D47" s="11" t="s">
        <v>406</v>
      </c>
      <c r="E47" s="12" t="s">
        <v>407</v>
      </c>
      <c r="F47" s="18" t="s">
        <v>154</v>
      </c>
      <c r="G47" s="11" t="s">
        <v>135</v>
      </c>
      <c r="H47" s="11" t="s">
        <v>408</v>
      </c>
      <c r="I47" s="11" t="s">
        <v>409</v>
      </c>
      <c r="J47" s="11" t="s">
        <v>410</v>
      </c>
      <c r="K47" s="11"/>
      <c r="L47" s="12"/>
      <c r="M47" s="11"/>
    </row>
    <row r="48" customFormat="false" ht="15" hidden="false" customHeight="false" outlineLevel="0" collapsed="false">
      <c r="A48" s="14" t="s">
        <v>411</v>
      </c>
      <c r="B48" s="15" t="s">
        <v>391</v>
      </c>
      <c r="C48" s="15" t="s">
        <v>412</v>
      </c>
      <c r="D48" s="15" t="s">
        <v>413</v>
      </c>
      <c r="E48" s="16" t="s">
        <v>118</v>
      </c>
      <c r="F48" s="13" t="s">
        <v>45</v>
      </c>
      <c r="G48" s="15" t="s">
        <v>400</v>
      </c>
      <c r="H48" s="15" t="s">
        <v>414</v>
      </c>
      <c r="I48" s="15" t="s">
        <v>135</v>
      </c>
      <c r="J48" s="15" t="s">
        <v>415</v>
      </c>
      <c r="K48" s="15"/>
      <c r="L48" s="16"/>
      <c r="M48" s="15"/>
    </row>
    <row r="49" customFormat="false" ht="22.35" hidden="false" customHeight="false" outlineLevel="0" collapsed="false">
      <c r="A49" s="10" t="s">
        <v>416</v>
      </c>
      <c r="B49" s="11" t="s">
        <v>417</v>
      </c>
      <c r="C49" s="11" t="s">
        <v>392</v>
      </c>
      <c r="D49" s="11" t="s">
        <v>418</v>
      </c>
      <c r="E49" s="12" t="s">
        <v>118</v>
      </c>
      <c r="F49" s="17" t="s">
        <v>134</v>
      </c>
      <c r="G49" s="11" t="s">
        <v>419</v>
      </c>
      <c r="H49" s="11" t="s">
        <v>420</v>
      </c>
      <c r="I49" s="11" t="s">
        <v>135</v>
      </c>
      <c r="J49" s="11" t="s">
        <v>421</v>
      </c>
      <c r="K49" s="11"/>
      <c r="L49" s="12"/>
      <c r="M49" s="11"/>
    </row>
    <row r="50" customFormat="false" ht="22.35" hidden="false" customHeight="false" outlineLevel="0" collapsed="false">
      <c r="A50" s="14" t="s">
        <v>422</v>
      </c>
      <c r="B50" s="15" t="s">
        <v>417</v>
      </c>
      <c r="C50" s="15" t="s">
        <v>423</v>
      </c>
      <c r="D50" s="15" t="s">
        <v>424</v>
      </c>
      <c r="E50" s="16" t="s">
        <v>118</v>
      </c>
      <c r="F50" s="18" t="s">
        <v>154</v>
      </c>
      <c r="G50" s="15" t="s">
        <v>425</v>
      </c>
      <c r="H50" s="15" t="s">
        <v>426</v>
      </c>
      <c r="I50" s="15" t="s">
        <v>135</v>
      </c>
      <c r="J50" s="15" t="s">
        <v>427</v>
      </c>
      <c r="K50" s="15"/>
      <c r="L50" s="16"/>
      <c r="M50" s="15"/>
    </row>
    <row r="51" customFormat="false" ht="15" hidden="false" customHeight="false" outlineLevel="0" collapsed="false">
      <c r="A51" s="10" t="s">
        <v>428</v>
      </c>
      <c r="B51" s="11" t="s">
        <v>429</v>
      </c>
      <c r="C51" s="11" t="s">
        <v>209</v>
      </c>
      <c r="D51" s="11" t="s">
        <v>430</v>
      </c>
      <c r="E51" s="12" t="s">
        <v>118</v>
      </c>
      <c r="F51" s="17" t="s">
        <v>134</v>
      </c>
      <c r="G51" s="11" t="s">
        <v>431</v>
      </c>
      <c r="H51" s="11" t="s">
        <v>432</v>
      </c>
      <c r="I51" s="11" t="s">
        <v>433</v>
      </c>
      <c r="J51" s="11" t="s">
        <v>434</v>
      </c>
      <c r="K51" s="11"/>
      <c r="L51" s="12"/>
      <c r="M51" s="11"/>
    </row>
    <row r="52" customFormat="false" ht="22.35" hidden="false" customHeight="false" outlineLevel="0" collapsed="false">
      <c r="A52" s="14" t="s">
        <v>435</v>
      </c>
      <c r="B52" s="15" t="s">
        <v>429</v>
      </c>
      <c r="C52" s="15" t="s">
        <v>436</v>
      </c>
      <c r="D52" s="15" t="s">
        <v>437</v>
      </c>
      <c r="E52" s="16" t="s">
        <v>118</v>
      </c>
      <c r="F52" s="17" t="s">
        <v>134</v>
      </c>
      <c r="G52" s="15" t="s">
        <v>438</v>
      </c>
      <c r="H52" s="15" t="s">
        <v>439</v>
      </c>
      <c r="I52" s="15" t="s">
        <v>135</v>
      </c>
      <c r="J52" s="15" t="s">
        <v>440</v>
      </c>
      <c r="K52" s="15"/>
      <c r="L52" s="16"/>
      <c r="M52" s="15"/>
    </row>
    <row r="53" customFormat="false" ht="15" hidden="false" customHeight="false" outlineLevel="0" collapsed="false">
      <c r="A53" s="10" t="s">
        <v>441</v>
      </c>
      <c r="B53" s="11" t="s">
        <v>429</v>
      </c>
      <c r="C53" s="11" t="s">
        <v>442</v>
      </c>
      <c r="D53" s="11" t="s">
        <v>443</v>
      </c>
      <c r="E53" s="12" t="s">
        <v>118</v>
      </c>
      <c r="F53" s="18" t="s">
        <v>154</v>
      </c>
      <c r="G53" s="11" t="s">
        <v>444</v>
      </c>
      <c r="H53" s="11" t="s">
        <v>445</v>
      </c>
      <c r="I53" s="11" t="s">
        <v>135</v>
      </c>
      <c r="J53" s="11" t="s">
        <v>446</v>
      </c>
      <c r="K53" s="11"/>
      <c r="L53" s="12"/>
      <c r="M53" s="11"/>
    </row>
    <row r="54" customFormat="false" ht="22.35" hidden="false" customHeight="false" outlineLevel="0" collapsed="false">
      <c r="A54" s="14" t="s">
        <v>447</v>
      </c>
      <c r="B54" s="15" t="s">
        <v>448</v>
      </c>
      <c r="C54" s="15" t="s">
        <v>178</v>
      </c>
      <c r="D54" s="15" t="s">
        <v>449</v>
      </c>
      <c r="E54" s="16" t="s">
        <v>118</v>
      </c>
      <c r="F54" s="17" t="s">
        <v>134</v>
      </c>
      <c r="G54" s="15" t="s">
        <v>180</v>
      </c>
      <c r="H54" s="15" t="s">
        <v>450</v>
      </c>
      <c r="I54" s="15" t="s">
        <v>451</v>
      </c>
      <c r="J54" s="15" t="s">
        <v>452</v>
      </c>
      <c r="K54" s="15"/>
      <c r="L54" s="16"/>
      <c r="M54" s="15"/>
    </row>
    <row r="55" customFormat="false" ht="22.35" hidden="false" customHeight="false" outlineLevel="0" collapsed="false">
      <c r="A55" s="10" t="s">
        <v>453</v>
      </c>
      <c r="B55" s="11" t="s">
        <v>448</v>
      </c>
      <c r="C55" s="11" t="s">
        <v>454</v>
      </c>
      <c r="D55" s="11" t="s">
        <v>455</v>
      </c>
      <c r="E55" s="12" t="s">
        <v>118</v>
      </c>
      <c r="F55" s="17" t="s">
        <v>134</v>
      </c>
      <c r="G55" s="11" t="s">
        <v>456</v>
      </c>
      <c r="H55" s="11" t="s">
        <v>457</v>
      </c>
      <c r="I55" s="11" t="s">
        <v>135</v>
      </c>
      <c r="J55" s="11" t="s">
        <v>458</v>
      </c>
      <c r="K55" s="11"/>
      <c r="L55" s="12"/>
      <c r="M55" s="11"/>
    </row>
    <row r="56" customFormat="false" ht="22.35" hidden="false" customHeight="false" outlineLevel="0" collapsed="false">
      <c r="A56" s="14" t="s">
        <v>459</v>
      </c>
      <c r="B56" s="15" t="s">
        <v>448</v>
      </c>
      <c r="C56" s="15" t="s">
        <v>460</v>
      </c>
      <c r="D56" s="15" t="s">
        <v>461</v>
      </c>
      <c r="E56" s="16" t="s">
        <v>125</v>
      </c>
      <c r="F56" s="18" t="s">
        <v>154</v>
      </c>
      <c r="G56" s="15" t="s">
        <v>462</v>
      </c>
      <c r="H56" s="15" t="s">
        <v>463</v>
      </c>
      <c r="I56" s="15" t="s">
        <v>135</v>
      </c>
      <c r="J56" s="15" t="s">
        <v>464</v>
      </c>
      <c r="K56" s="15"/>
      <c r="L56" s="16"/>
      <c r="M56" s="15"/>
    </row>
    <row r="57" customFormat="false" ht="15" hidden="false" customHeight="false" outlineLevel="0" collapsed="false">
      <c r="A57" s="10" t="s">
        <v>465</v>
      </c>
      <c r="B57" s="11" t="s">
        <v>466</v>
      </c>
      <c r="C57" s="11" t="s">
        <v>467</v>
      </c>
      <c r="D57" s="11" t="s">
        <v>468</v>
      </c>
      <c r="E57" s="12" t="s">
        <v>118</v>
      </c>
      <c r="F57" s="17" t="s">
        <v>134</v>
      </c>
      <c r="G57" s="11" t="s">
        <v>135</v>
      </c>
      <c r="H57" s="11" t="s">
        <v>469</v>
      </c>
      <c r="I57" s="11" t="s">
        <v>135</v>
      </c>
      <c r="J57" s="11" t="s">
        <v>470</v>
      </c>
      <c r="K57" s="11"/>
      <c r="L57" s="12"/>
      <c r="M57" s="11"/>
    </row>
    <row r="58" customFormat="false" ht="22.35" hidden="false" customHeight="false" outlineLevel="0" collapsed="false">
      <c r="A58" s="14" t="s">
        <v>471</v>
      </c>
      <c r="B58" s="15" t="s">
        <v>466</v>
      </c>
      <c r="C58" s="15" t="s">
        <v>472</v>
      </c>
      <c r="D58" s="15" t="s">
        <v>473</v>
      </c>
      <c r="E58" s="16" t="s">
        <v>118</v>
      </c>
      <c r="F58" s="18" t="s">
        <v>154</v>
      </c>
      <c r="G58" s="15" t="s">
        <v>474</v>
      </c>
      <c r="H58" s="15" t="s">
        <v>475</v>
      </c>
      <c r="I58" s="15" t="s">
        <v>135</v>
      </c>
      <c r="J58" s="15" t="s">
        <v>476</v>
      </c>
      <c r="K58" s="15"/>
      <c r="L58" s="16"/>
      <c r="M58" s="15"/>
    </row>
    <row r="59" customFormat="false" ht="22.35" hidden="false" customHeight="false" outlineLevel="0" collapsed="false">
      <c r="A59" s="10" t="s">
        <v>477</v>
      </c>
      <c r="B59" s="11" t="s">
        <v>71</v>
      </c>
      <c r="C59" s="11" t="s">
        <v>478</v>
      </c>
      <c r="D59" s="11" t="s">
        <v>479</v>
      </c>
      <c r="E59" s="12" t="s">
        <v>118</v>
      </c>
      <c r="F59" s="17" t="s">
        <v>134</v>
      </c>
      <c r="G59" s="11" t="s">
        <v>480</v>
      </c>
      <c r="H59" s="11" t="s">
        <v>481</v>
      </c>
      <c r="I59" s="11" t="s">
        <v>135</v>
      </c>
      <c r="J59" s="11" t="s">
        <v>482</v>
      </c>
      <c r="K59" s="11"/>
      <c r="L59" s="12"/>
      <c r="M59" s="11"/>
    </row>
    <row r="60" customFormat="false" ht="15" hidden="false" customHeight="false" outlineLevel="0" collapsed="false">
      <c r="A60" s="14" t="s">
        <v>483</v>
      </c>
      <c r="B60" s="15" t="s">
        <v>71</v>
      </c>
      <c r="C60" s="15" t="s">
        <v>484</v>
      </c>
      <c r="D60" s="15" t="s">
        <v>485</v>
      </c>
      <c r="E60" s="16" t="s">
        <v>118</v>
      </c>
      <c r="F60" s="18" t="s">
        <v>154</v>
      </c>
      <c r="G60" s="15" t="s">
        <v>135</v>
      </c>
      <c r="H60" s="15" t="s">
        <v>486</v>
      </c>
      <c r="I60" s="15" t="s">
        <v>135</v>
      </c>
      <c r="J60" s="15" t="s">
        <v>487</v>
      </c>
      <c r="K60" s="15"/>
      <c r="L60" s="16"/>
      <c r="M60" s="15"/>
    </row>
    <row r="61" customFormat="false" ht="22.35" hidden="false" customHeight="false" outlineLevel="0" collapsed="false">
      <c r="A61" s="10" t="s">
        <v>488</v>
      </c>
      <c r="B61" s="11" t="s">
        <v>71</v>
      </c>
      <c r="C61" s="11" t="s">
        <v>489</v>
      </c>
      <c r="D61" s="11" t="s">
        <v>490</v>
      </c>
      <c r="E61" s="12" t="s">
        <v>118</v>
      </c>
      <c r="F61" s="17" t="s">
        <v>134</v>
      </c>
      <c r="G61" s="11" t="s">
        <v>491</v>
      </c>
      <c r="H61" s="11" t="s">
        <v>492</v>
      </c>
      <c r="I61" s="11" t="s">
        <v>493</v>
      </c>
      <c r="J61" s="11" t="s">
        <v>494</v>
      </c>
      <c r="K61" s="11"/>
      <c r="L61" s="12"/>
      <c r="M61" s="11"/>
    </row>
    <row r="62" customFormat="false" ht="22.35" hidden="false" customHeight="false" outlineLevel="0" collapsed="false">
      <c r="A62" s="14" t="s">
        <v>495</v>
      </c>
      <c r="B62" s="15" t="s">
        <v>71</v>
      </c>
      <c r="C62" s="15" t="s">
        <v>496</v>
      </c>
      <c r="D62" s="15" t="s">
        <v>497</v>
      </c>
      <c r="E62" s="16" t="s">
        <v>118</v>
      </c>
      <c r="F62" s="18" t="s">
        <v>154</v>
      </c>
      <c r="G62" s="15" t="s">
        <v>498</v>
      </c>
      <c r="H62" s="15" t="s">
        <v>499</v>
      </c>
      <c r="I62" s="15" t="s">
        <v>500</v>
      </c>
      <c r="J62" s="15" t="s">
        <v>501</v>
      </c>
      <c r="K62" s="15"/>
      <c r="L62" s="16"/>
      <c r="M62" s="15"/>
    </row>
    <row r="63" customFormat="false" ht="15" hidden="false" customHeight="false" outlineLevel="0" collapsed="false">
      <c r="A63" s="10" t="s">
        <v>502</v>
      </c>
      <c r="B63" s="11" t="s">
        <v>71</v>
      </c>
      <c r="C63" s="11" t="s">
        <v>503</v>
      </c>
      <c r="D63" s="11" t="s">
        <v>504</v>
      </c>
      <c r="E63" s="12" t="s">
        <v>407</v>
      </c>
      <c r="F63" s="18" t="s">
        <v>154</v>
      </c>
      <c r="G63" s="11" t="s">
        <v>135</v>
      </c>
      <c r="H63" s="11" t="s">
        <v>505</v>
      </c>
      <c r="I63" s="11" t="s">
        <v>506</v>
      </c>
      <c r="J63" s="11" t="s">
        <v>507</v>
      </c>
      <c r="K63" s="11"/>
      <c r="L63" s="12"/>
      <c r="M63" s="11"/>
    </row>
    <row r="64" customFormat="false" ht="22.35" hidden="false" customHeight="false" outlineLevel="0" collapsed="false">
      <c r="A64" s="14" t="s">
        <v>508</v>
      </c>
      <c r="B64" s="15" t="s">
        <v>71</v>
      </c>
      <c r="C64" s="15" t="s">
        <v>509</v>
      </c>
      <c r="D64" s="15" t="s">
        <v>510</v>
      </c>
      <c r="E64" s="16" t="s">
        <v>118</v>
      </c>
      <c r="F64" s="17" t="s">
        <v>134</v>
      </c>
      <c r="G64" s="15" t="s">
        <v>511</v>
      </c>
      <c r="H64" s="15" t="s">
        <v>512</v>
      </c>
      <c r="I64" s="15" t="s">
        <v>135</v>
      </c>
      <c r="J64" s="15" t="s">
        <v>513</v>
      </c>
      <c r="K64" s="15"/>
      <c r="L64" s="16"/>
      <c r="M64" s="15"/>
    </row>
    <row r="65" customFormat="false" ht="22.35" hidden="false" customHeight="false" outlineLevel="0" collapsed="false">
      <c r="A65" s="10" t="s">
        <v>514</v>
      </c>
      <c r="B65" s="11" t="s">
        <v>93</v>
      </c>
      <c r="C65" s="11" t="s">
        <v>515</v>
      </c>
      <c r="D65" s="11" t="s">
        <v>516</v>
      </c>
      <c r="E65" s="12" t="s">
        <v>118</v>
      </c>
      <c r="F65" s="17" t="s">
        <v>134</v>
      </c>
      <c r="G65" s="11" t="s">
        <v>135</v>
      </c>
      <c r="H65" s="11" t="s">
        <v>517</v>
      </c>
      <c r="I65" s="11" t="s">
        <v>135</v>
      </c>
      <c r="J65" s="11" t="s">
        <v>518</v>
      </c>
      <c r="K65" s="11"/>
      <c r="L65" s="12"/>
      <c r="M65" s="11"/>
    </row>
    <row r="66" customFormat="false" ht="22.35" hidden="false" customHeight="false" outlineLevel="0" collapsed="false">
      <c r="A66" s="14" t="s">
        <v>519</v>
      </c>
      <c r="B66" s="15" t="s">
        <v>93</v>
      </c>
      <c r="C66" s="15" t="s">
        <v>520</v>
      </c>
      <c r="D66" s="15" t="s">
        <v>521</v>
      </c>
      <c r="E66" s="16" t="s">
        <v>118</v>
      </c>
      <c r="F66" s="17" t="s">
        <v>134</v>
      </c>
      <c r="G66" s="15" t="s">
        <v>522</v>
      </c>
      <c r="H66" s="15" t="s">
        <v>523</v>
      </c>
      <c r="I66" s="15" t="s">
        <v>524</v>
      </c>
      <c r="J66" s="15" t="s">
        <v>525</v>
      </c>
      <c r="K66" s="15"/>
      <c r="L66" s="16"/>
      <c r="M66" s="15"/>
    </row>
    <row r="67" customFormat="false" ht="15" hidden="false" customHeight="false" outlineLevel="0" collapsed="false">
      <c r="A67" s="10" t="s">
        <v>526</v>
      </c>
      <c r="B67" s="11" t="s">
        <v>93</v>
      </c>
      <c r="C67" s="11" t="s">
        <v>527</v>
      </c>
      <c r="D67" s="11" t="s">
        <v>528</v>
      </c>
      <c r="E67" s="12" t="s">
        <v>125</v>
      </c>
      <c r="F67" s="18" t="s">
        <v>154</v>
      </c>
      <c r="G67" s="11" t="s">
        <v>135</v>
      </c>
      <c r="H67" s="11" t="s">
        <v>529</v>
      </c>
      <c r="I67" s="11" t="s">
        <v>530</v>
      </c>
      <c r="J67" s="11" t="s">
        <v>531</v>
      </c>
      <c r="K67" s="11"/>
      <c r="L67" s="12"/>
      <c r="M67" s="11"/>
    </row>
    <row r="68" customFormat="false" ht="22.35" hidden="false" customHeight="false" outlineLevel="0" collapsed="false">
      <c r="A68" s="14" t="s">
        <v>532</v>
      </c>
      <c r="B68" s="15" t="s">
        <v>93</v>
      </c>
      <c r="C68" s="15" t="s">
        <v>533</v>
      </c>
      <c r="D68" s="15" t="s">
        <v>534</v>
      </c>
      <c r="E68" s="16" t="s">
        <v>118</v>
      </c>
      <c r="F68" s="18" t="s">
        <v>154</v>
      </c>
      <c r="G68" s="15" t="s">
        <v>135</v>
      </c>
      <c r="H68" s="15" t="s">
        <v>535</v>
      </c>
      <c r="I68" s="15" t="s">
        <v>536</v>
      </c>
      <c r="J68" s="15" t="s">
        <v>537</v>
      </c>
      <c r="K68" s="15"/>
      <c r="L68" s="16"/>
      <c r="M68" s="15"/>
    </row>
    <row r="69" customFormat="false" ht="15" hidden="false" customHeight="false" outlineLevel="0" collapsed="false">
      <c r="A69" s="10" t="s">
        <v>538</v>
      </c>
      <c r="B69" s="11" t="s">
        <v>93</v>
      </c>
      <c r="C69" s="11" t="s">
        <v>539</v>
      </c>
      <c r="D69" s="11" t="s">
        <v>540</v>
      </c>
      <c r="E69" s="12" t="s">
        <v>118</v>
      </c>
      <c r="F69" s="18" t="s">
        <v>154</v>
      </c>
      <c r="G69" s="11" t="s">
        <v>541</v>
      </c>
      <c r="H69" s="11" t="s">
        <v>542</v>
      </c>
      <c r="I69" s="11" t="s">
        <v>135</v>
      </c>
      <c r="J69" s="11" t="s">
        <v>543</v>
      </c>
      <c r="K69" s="11"/>
      <c r="L69" s="12"/>
      <c r="M69" s="11"/>
    </row>
    <row r="70" customFormat="false" ht="22.35" hidden="false" customHeight="false" outlineLevel="0" collapsed="false">
      <c r="A70" s="14" t="s">
        <v>544</v>
      </c>
      <c r="B70" s="15" t="s">
        <v>93</v>
      </c>
      <c r="C70" s="15" t="s">
        <v>545</v>
      </c>
      <c r="D70" s="15" t="s">
        <v>546</v>
      </c>
      <c r="E70" s="16" t="s">
        <v>125</v>
      </c>
      <c r="F70" s="17" t="s">
        <v>134</v>
      </c>
      <c r="G70" s="15" t="s">
        <v>547</v>
      </c>
      <c r="H70" s="15" t="s">
        <v>548</v>
      </c>
      <c r="I70" s="15" t="s">
        <v>549</v>
      </c>
      <c r="J70" s="15" t="s">
        <v>550</v>
      </c>
      <c r="K70" s="15"/>
      <c r="L70" s="16"/>
      <c r="M70" s="15"/>
    </row>
    <row r="71" customFormat="false" ht="22.35" hidden="false" customHeight="false" outlineLevel="0" collapsed="false">
      <c r="A71" s="10" t="s">
        <v>551</v>
      </c>
      <c r="B71" s="11" t="s">
        <v>552</v>
      </c>
      <c r="C71" s="11" t="s">
        <v>553</v>
      </c>
      <c r="D71" s="11" t="s">
        <v>554</v>
      </c>
      <c r="E71" s="12" t="s">
        <v>118</v>
      </c>
      <c r="F71" s="18" t="s">
        <v>154</v>
      </c>
      <c r="G71" s="11" t="s">
        <v>555</v>
      </c>
      <c r="H71" s="11" t="s">
        <v>556</v>
      </c>
      <c r="I71" s="11" t="s">
        <v>557</v>
      </c>
      <c r="J71" s="11" t="s">
        <v>558</v>
      </c>
      <c r="K71" s="11"/>
      <c r="L71" s="12"/>
      <c r="M71" s="11"/>
    </row>
    <row r="72" customFormat="false" ht="15" hidden="false" customHeight="false" outlineLevel="0" collapsed="false">
      <c r="A72" s="14" t="s">
        <v>559</v>
      </c>
      <c r="B72" s="15" t="s">
        <v>552</v>
      </c>
      <c r="C72" s="15" t="s">
        <v>560</v>
      </c>
      <c r="D72" s="15" t="s">
        <v>561</v>
      </c>
      <c r="E72" s="16" t="s">
        <v>407</v>
      </c>
      <c r="F72" s="18" t="s">
        <v>154</v>
      </c>
      <c r="G72" s="15" t="s">
        <v>562</v>
      </c>
      <c r="H72" s="15" t="s">
        <v>563</v>
      </c>
      <c r="I72" s="15" t="s">
        <v>564</v>
      </c>
      <c r="J72" s="15" t="s">
        <v>565</v>
      </c>
      <c r="K72" s="15"/>
      <c r="L72" s="16"/>
      <c r="M72" s="15"/>
    </row>
    <row r="73" customFormat="false" ht="15" hidden="false" customHeight="false" outlineLevel="0" collapsed="false">
      <c r="A73" s="10" t="s">
        <v>566</v>
      </c>
      <c r="B73" s="11" t="s">
        <v>567</v>
      </c>
      <c r="C73" s="11" t="s">
        <v>568</v>
      </c>
      <c r="D73" s="11" t="s">
        <v>569</v>
      </c>
      <c r="E73" s="12" t="s">
        <v>118</v>
      </c>
      <c r="F73" s="17" t="s">
        <v>134</v>
      </c>
      <c r="G73" s="11" t="s">
        <v>570</v>
      </c>
      <c r="H73" s="11" t="s">
        <v>571</v>
      </c>
      <c r="I73" s="11" t="s">
        <v>572</v>
      </c>
      <c r="J73" s="11" t="s">
        <v>573</v>
      </c>
      <c r="K73" s="11"/>
      <c r="L73" s="12"/>
      <c r="M73" s="11"/>
    </row>
    <row r="74" customFormat="false" ht="15" hidden="false" customHeight="false" outlineLevel="0" collapsed="false">
      <c r="A74" s="14" t="s">
        <v>574</v>
      </c>
      <c r="B74" s="15" t="s">
        <v>567</v>
      </c>
      <c r="C74" s="15" t="s">
        <v>575</v>
      </c>
      <c r="D74" s="15" t="s">
        <v>576</v>
      </c>
      <c r="E74" s="16" t="s">
        <v>118</v>
      </c>
      <c r="F74" s="18" t="s">
        <v>154</v>
      </c>
      <c r="G74" s="15" t="s">
        <v>135</v>
      </c>
      <c r="H74" s="15" t="s">
        <v>577</v>
      </c>
      <c r="I74" s="15" t="s">
        <v>578</v>
      </c>
      <c r="J74" s="15" t="s">
        <v>579</v>
      </c>
      <c r="K74" s="15"/>
      <c r="L74" s="16"/>
      <c r="M74" s="15"/>
    </row>
    <row r="75" customFormat="false" ht="22.35" hidden="false" customHeight="false" outlineLevel="0" collapsed="false">
      <c r="A75" s="10" t="s">
        <v>580</v>
      </c>
      <c r="B75" s="11" t="s">
        <v>581</v>
      </c>
      <c r="C75" s="11" t="s">
        <v>582</v>
      </c>
      <c r="D75" s="11" t="s">
        <v>583</v>
      </c>
      <c r="E75" s="12" t="s">
        <v>118</v>
      </c>
      <c r="F75" s="13" t="s">
        <v>45</v>
      </c>
      <c r="G75" s="11" t="s">
        <v>570</v>
      </c>
      <c r="H75" s="11" t="s">
        <v>584</v>
      </c>
      <c r="I75" s="11" t="s">
        <v>585</v>
      </c>
      <c r="J75" s="11" t="s">
        <v>586</v>
      </c>
      <c r="K75" s="11"/>
      <c r="L75" s="12"/>
      <c r="M75" s="11"/>
    </row>
    <row r="76" customFormat="false" ht="22.35" hidden="false" customHeight="false" outlineLevel="0" collapsed="false">
      <c r="A76" s="14" t="s">
        <v>587</v>
      </c>
      <c r="B76" s="15" t="s">
        <v>581</v>
      </c>
      <c r="C76" s="15" t="s">
        <v>588</v>
      </c>
      <c r="D76" s="15" t="s">
        <v>589</v>
      </c>
      <c r="E76" s="16" t="s">
        <v>118</v>
      </c>
      <c r="F76" s="17" t="s">
        <v>134</v>
      </c>
      <c r="G76" s="15" t="s">
        <v>135</v>
      </c>
      <c r="H76" s="15" t="s">
        <v>590</v>
      </c>
      <c r="I76" s="15" t="s">
        <v>591</v>
      </c>
      <c r="J76" s="15" t="s">
        <v>592</v>
      </c>
      <c r="K76" s="15"/>
      <c r="L76" s="16"/>
      <c r="M76" s="15"/>
    </row>
    <row r="77" customFormat="false" ht="15" hidden="false" customHeight="false" outlineLevel="0" collapsed="false">
      <c r="A77" s="10" t="s">
        <v>593</v>
      </c>
      <c r="B77" s="11" t="s">
        <v>581</v>
      </c>
      <c r="C77" s="11" t="s">
        <v>594</v>
      </c>
      <c r="D77" s="11" t="s">
        <v>595</v>
      </c>
      <c r="E77" s="12" t="s">
        <v>118</v>
      </c>
      <c r="F77" s="17" t="s">
        <v>134</v>
      </c>
      <c r="G77" s="11" t="s">
        <v>135</v>
      </c>
      <c r="H77" s="11" t="s">
        <v>596</v>
      </c>
      <c r="I77" s="11" t="s">
        <v>597</v>
      </c>
      <c r="J77" s="11" t="s">
        <v>598</v>
      </c>
      <c r="K77" s="11"/>
      <c r="L77" s="12"/>
      <c r="M77" s="11"/>
    </row>
    <row r="78" customFormat="false" ht="22.35" hidden="false" customHeight="false" outlineLevel="0" collapsed="false">
      <c r="A78" s="14" t="s">
        <v>599</v>
      </c>
      <c r="B78" s="15" t="s">
        <v>581</v>
      </c>
      <c r="C78" s="15" t="s">
        <v>600</v>
      </c>
      <c r="D78" s="15" t="s">
        <v>601</v>
      </c>
      <c r="E78" s="16" t="s">
        <v>118</v>
      </c>
      <c r="F78" s="18" t="s">
        <v>154</v>
      </c>
      <c r="G78" s="15" t="s">
        <v>135</v>
      </c>
      <c r="H78" s="15" t="s">
        <v>602</v>
      </c>
      <c r="I78" s="15" t="s">
        <v>603</v>
      </c>
      <c r="J78" s="15" t="s">
        <v>604</v>
      </c>
      <c r="K78" s="15"/>
      <c r="L78" s="16"/>
      <c r="M78" s="15"/>
    </row>
    <row r="79" customFormat="false" ht="22.35" hidden="false" customHeight="false" outlineLevel="0" collapsed="false">
      <c r="A79" s="10" t="s">
        <v>605</v>
      </c>
      <c r="B79" s="11" t="s">
        <v>581</v>
      </c>
      <c r="C79" s="11" t="s">
        <v>606</v>
      </c>
      <c r="D79" s="11" t="s">
        <v>607</v>
      </c>
      <c r="E79" s="12" t="s">
        <v>133</v>
      </c>
      <c r="F79" s="17" t="s">
        <v>134</v>
      </c>
      <c r="G79" s="11" t="s">
        <v>135</v>
      </c>
      <c r="H79" s="11" t="s">
        <v>608</v>
      </c>
      <c r="I79" s="11" t="s">
        <v>135</v>
      </c>
      <c r="J79" s="11" t="s">
        <v>609</v>
      </c>
      <c r="K79" s="11"/>
      <c r="L79" s="12"/>
      <c r="M79" s="11"/>
    </row>
    <row r="80" customFormat="false" ht="22.35" hidden="false" customHeight="false" outlineLevel="0" collapsed="false">
      <c r="A80" s="14" t="s">
        <v>610</v>
      </c>
      <c r="B80" s="15" t="s">
        <v>611</v>
      </c>
      <c r="C80" s="15" t="s">
        <v>612</v>
      </c>
      <c r="D80" s="15" t="s">
        <v>613</v>
      </c>
      <c r="E80" s="16" t="s">
        <v>118</v>
      </c>
      <c r="F80" s="18" t="s">
        <v>154</v>
      </c>
      <c r="G80" s="15" t="s">
        <v>135</v>
      </c>
      <c r="H80" s="15" t="s">
        <v>614</v>
      </c>
      <c r="I80" s="15" t="s">
        <v>135</v>
      </c>
      <c r="J80" s="15" t="s">
        <v>615</v>
      </c>
      <c r="K80" s="15"/>
      <c r="L80" s="16"/>
      <c r="M80" s="15"/>
    </row>
    <row r="81" customFormat="false" ht="15" hidden="false" customHeight="false" outlineLevel="0" collapsed="false">
      <c r="A81" s="10" t="s">
        <v>616</v>
      </c>
      <c r="B81" s="11" t="s">
        <v>611</v>
      </c>
      <c r="C81" s="11" t="s">
        <v>617</v>
      </c>
      <c r="D81" s="11" t="s">
        <v>618</v>
      </c>
      <c r="E81" s="12" t="s">
        <v>118</v>
      </c>
      <c r="F81" s="18" t="s">
        <v>154</v>
      </c>
      <c r="G81" s="11" t="s">
        <v>619</v>
      </c>
      <c r="H81" s="11" t="s">
        <v>620</v>
      </c>
      <c r="I81" s="11" t="s">
        <v>135</v>
      </c>
      <c r="J81" s="11" t="s">
        <v>621</v>
      </c>
      <c r="K81" s="11"/>
      <c r="L81" s="12"/>
      <c r="M81" s="11"/>
    </row>
    <row r="82" customFormat="false" ht="15" hidden="false" customHeight="false" outlineLevel="0" collapsed="false">
      <c r="A82" s="14" t="s">
        <v>622</v>
      </c>
      <c r="B82" s="15" t="s">
        <v>623</v>
      </c>
      <c r="C82" s="15" t="s">
        <v>624</v>
      </c>
      <c r="D82" s="15" t="s">
        <v>625</v>
      </c>
      <c r="E82" s="16" t="s">
        <v>118</v>
      </c>
      <c r="F82" s="13" t="s">
        <v>45</v>
      </c>
      <c r="G82" s="15" t="s">
        <v>570</v>
      </c>
      <c r="H82" s="15" t="s">
        <v>626</v>
      </c>
      <c r="I82" s="15" t="s">
        <v>627</v>
      </c>
      <c r="J82" s="15" t="s">
        <v>628</v>
      </c>
      <c r="K82" s="15"/>
      <c r="L82" s="16"/>
      <c r="M82" s="15"/>
    </row>
    <row r="83" customFormat="false" ht="22.35" hidden="false" customHeight="false" outlineLevel="0" collapsed="false">
      <c r="A83" s="10" t="s">
        <v>629</v>
      </c>
      <c r="B83" s="11" t="s">
        <v>623</v>
      </c>
      <c r="C83" s="11" t="s">
        <v>630</v>
      </c>
      <c r="D83" s="11" t="s">
        <v>631</v>
      </c>
      <c r="E83" s="12" t="s">
        <v>133</v>
      </c>
      <c r="F83" s="13" t="s">
        <v>45</v>
      </c>
      <c r="G83" s="11" t="s">
        <v>632</v>
      </c>
      <c r="H83" s="11" t="s">
        <v>633</v>
      </c>
      <c r="I83" s="11" t="s">
        <v>135</v>
      </c>
      <c r="J83" s="11" t="s">
        <v>634</v>
      </c>
      <c r="K83" s="11"/>
      <c r="L83" s="12"/>
      <c r="M83" s="11"/>
    </row>
    <row r="84" customFormat="false" ht="22.35" hidden="false" customHeight="false" outlineLevel="0" collapsed="false">
      <c r="A84" s="14" t="s">
        <v>635</v>
      </c>
      <c r="B84" s="15" t="s">
        <v>623</v>
      </c>
      <c r="C84" s="15" t="s">
        <v>636</v>
      </c>
      <c r="D84" s="15" t="s">
        <v>637</v>
      </c>
      <c r="E84" s="16" t="s">
        <v>133</v>
      </c>
      <c r="F84" s="17" t="s">
        <v>134</v>
      </c>
      <c r="G84" s="15" t="s">
        <v>638</v>
      </c>
      <c r="H84" s="15" t="s">
        <v>639</v>
      </c>
      <c r="I84" s="15" t="s">
        <v>135</v>
      </c>
      <c r="J84" s="15" t="s">
        <v>640</v>
      </c>
      <c r="K84" s="15"/>
      <c r="L84" s="16"/>
      <c r="M84" s="15"/>
    </row>
    <row r="85" customFormat="false" ht="15" hidden="false" customHeight="false" outlineLevel="0" collapsed="false">
      <c r="A85" s="10" t="s">
        <v>641</v>
      </c>
      <c r="B85" s="11" t="s">
        <v>623</v>
      </c>
      <c r="C85" s="11" t="s">
        <v>642</v>
      </c>
      <c r="D85" s="11" t="s">
        <v>643</v>
      </c>
      <c r="E85" s="12" t="s">
        <v>118</v>
      </c>
      <c r="F85" s="18" t="s">
        <v>154</v>
      </c>
      <c r="G85" s="11" t="s">
        <v>135</v>
      </c>
      <c r="H85" s="11" t="s">
        <v>644</v>
      </c>
      <c r="I85" s="11" t="s">
        <v>135</v>
      </c>
      <c r="J85" s="11" t="s">
        <v>645</v>
      </c>
      <c r="K85" s="11"/>
      <c r="L85" s="12"/>
      <c r="M85" s="11"/>
    </row>
    <row r="86" customFormat="false" ht="15" hidden="false" customHeight="false" outlineLevel="0" collapsed="false">
      <c r="A86" s="14" t="s">
        <v>646</v>
      </c>
      <c r="B86" s="15" t="s">
        <v>623</v>
      </c>
      <c r="C86" s="15" t="s">
        <v>539</v>
      </c>
      <c r="D86" s="15" t="s">
        <v>647</v>
      </c>
      <c r="E86" s="16" t="s">
        <v>118</v>
      </c>
      <c r="F86" s="18" t="s">
        <v>154</v>
      </c>
      <c r="G86" s="15" t="s">
        <v>135</v>
      </c>
      <c r="H86" s="15" t="s">
        <v>648</v>
      </c>
      <c r="I86" s="15" t="s">
        <v>135</v>
      </c>
      <c r="J86" s="15" t="s">
        <v>649</v>
      </c>
      <c r="K86" s="15"/>
      <c r="L86" s="16"/>
      <c r="M86" s="15"/>
    </row>
    <row r="87" customFormat="false" ht="22.35" hidden="false" customHeight="false" outlineLevel="0" collapsed="false">
      <c r="A87" s="10" t="s">
        <v>650</v>
      </c>
      <c r="B87" s="11" t="s">
        <v>623</v>
      </c>
      <c r="C87" s="11" t="s">
        <v>651</v>
      </c>
      <c r="D87" s="11" t="s">
        <v>652</v>
      </c>
      <c r="E87" s="12" t="s">
        <v>125</v>
      </c>
      <c r="F87" s="17" t="s">
        <v>134</v>
      </c>
      <c r="G87" s="11" t="s">
        <v>653</v>
      </c>
      <c r="H87" s="11" t="s">
        <v>654</v>
      </c>
      <c r="I87" s="11" t="s">
        <v>135</v>
      </c>
      <c r="J87" s="11" t="s">
        <v>655</v>
      </c>
      <c r="K87" s="11"/>
      <c r="L87" s="12"/>
      <c r="M87" s="11"/>
    </row>
    <row r="88" customFormat="false" ht="22.35" hidden="false" customHeight="false" outlineLevel="0" collapsed="false">
      <c r="A88" s="14" t="s">
        <v>656</v>
      </c>
      <c r="B88" s="15" t="s">
        <v>657</v>
      </c>
      <c r="C88" s="15" t="s">
        <v>658</v>
      </c>
      <c r="D88" s="15" t="s">
        <v>659</v>
      </c>
      <c r="E88" s="16" t="s">
        <v>118</v>
      </c>
      <c r="F88" s="17" t="s">
        <v>134</v>
      </c>
      <c r="G88" s="15" t="s">
        <v>570</v>
      </c>
      <c r="H88" s="15" t="s">
        <v>660</v>
      </c>
      <c r="I88" s="15" t="s">
        <v>135</v>
      </c>
      <c r="J88" s="15" t="s">
        <v>661</v>
      </c>
      <c r="K88" s="15"/>
      <c r="L88" s="16"/>
      <c r="M88" s="15"/>
    </row>
    <row r="89" customFormat="false" ht="15" hidden="false" customHeight="false" outlineLevel="0" collapsed="false">
      <c r="A89" s="10" t="s">
        <v>662</v>
      </c>
      <c r="B89" s="11" t="s">
        <v>657</v>
      </c>
      <c r="C89" s="11" t="s">
        <v>663</v>
      </c>
      <c r="D89" s="11" t="s">
        <v>664</v>
      </c>
      <c r="E89" s="12" t="s">
        <v>118</v>
      </c>
      <c r="F89" s="18" t="s">
        <v>154</v>
      </c>
      <c r="G89" s="11" t="s">
        <v>135</v>
      </c>
      <c r="H89" s="11" t="s">
        <v>665</v>
      </c>
      <c r="I89" s="11" t="s">
        <v>135</v>
      </c>
      <c r="J89" s="11" t="s">
        <v>666</v>
      </c>
      <c r="K89" s="11"/>
      <c r="L89" s="12"/>
      <c r="M89" s="11"/>
    </row>
    <row r="90" customFormat="false" ht="22.35" hidden="false" customHeight="false" outlineLevel="0" collapsed="false">
      <c r="A90" s="14" t="s">
        <v>667</v>
      </c>
      <c r="B90" s="15" t="s">
        <v>668</v>
      </c>
      <c r="C90" s="15" t="s">
        <v>669</v>
      </c>
      <c r="D90" s="15" t="s">
        <v>670</v>
      </c>
      <c r="E90" s="16" t="s">
        <v>133</v>
      </c>
      <c r="F90" s="17" t="s">
        <v>134</v>
      </c>
      <c r="G90" s="15" t="s">
        <v>135</v>
      </c>
      <c r="H90" s="15" t="s">
        <v>671</v>
      </c>
      <c r="I90" s="15" t="s">
        <v>135</v>
      </c>
      <c r="J90" s="15" t="s">
        <v>672</v>
      </c>
      <c r="K90" s="15"/>
      <c r="L90" s="16"/>
      <c r="M90" s="15"/>
    </row>
    <row r="91" customFormat="false" ht="22.35" hidden="false" customHeight="false" outlineLevel="0" collapsed="false">
      <c r="A91" s="10" t="s">
        <v>673</v>
      </c>
      <c r="B91" s="11" t="s">
        <v>668</v>
      </c>
      <c r="C91" s="11" t="s">
        <v>674</v>
      </c>
      <c r="D91" s="11" t="s">
        <v>675</v>
      </c>
      <c r="E91" s="12" t="s">
        <v>118</v>
      </c>
      <c r="F91" s="18" t="s">
        <v>154</v>
      </c>
      <c r="G91" s="11" t="s">
        <v>135</v>
      </c>
      <c r="H91" s="11" t="s">
        <v>676</v>
      </c>
      <c r="I91" s="11" t="s">
        <v>135</v>
      </c>
      <c r="J91" s="11" t="s">
        <v>677</v>
      </c>
      <c r="K91" s="11"/>
      <c r="L91" s="12"/>
      <c r="M91" s="11"/>
    </row>
    <row r="92" customFormat="false" ht="15" hidden="false" customHeight="false" outlineLevel="0" collapsed="false">
      <c r="A92" s="14" t="s">
        <v>678</v>
      </c>
      <c r="B92" s="15" t="s">
        <v>679</v>
      </c>
      <c r="C92" s="15" t="s">
        <v>680</v>
      </c>
      <c r="D92" s="15" t="s">
        <v>681</v>
      </c>
      <c r="E92" s="16" t="s">
        <v>118</v>
      </c>
      <c r="F92" s="17" t="s">
        <v>134</v>
      </c>
      <c r="G92" s="15" t="s">
        <v>180</v>
      </c>
      <c r="H92" s="15" t="s">
        <v>682</v>
      </c>
      <c r="I92" s="15" t="s">
        <v>683</v>
      </c>
      <c r="J92" s="15" t="s">
        <v>684</v>
      </c>
      <c r="K92" s="15"/>
      <c r="L92" s="16"/>
      <c r="M92" s="15"/>
    </row>
    <row r="93" customFormat="false" ht="15" hidden="false" customHeight="false" outlineLevel="0" collapsed="false">
      <c r="A93" s="10" t="s">
        <v>685</v>
      </c>
      <c r="B93" s="11" t="s">
        <v>679</v>
      </c>
      <c r="C93" s="11" t="s">
        <v>686</v>
      </c>
      <c r="D93" s="11" t="s">
        <v>687</v>
      </c>
      <c r="E93" s="12" t="s">
        <v>118</v>
      </c>
      <c r="F93" s="18" t="s">
        <v>154</v>
      </c>
      <c r="G93" s="11" t="s">
        <v>135</v>
      </c>
      <c r="H93" s="11" t="s">
        <v>688</v>
      </c>
      <c r="I93" s="11" t="s">
        <v>689</v>
      </c>
      <c r="J93" s="11" t="s">
        <v>690</v>
      </c>
      <c r="K93" s="11"/>
      <c r="L93" s="12"/>
      <c r="M93" s="11"/>
    </row>
    <row r="94" customFormat="false" ht="15" hidden="false" customHeight="false" outlineLevel="0" collapsed="false">
      <c r="A94" s="14" t="s">
        <v>691</v>
      </c>
      <c r="B94" s="15" t="s">
        <v>679</v>
      </c>
      <c r="C94" s="15" t="s">
        <v>692</v>
      </c>
      <c r="D94" s="15" t="s">
        <v>693</v>
      </c>
      <c r="E94" s="16" t="s">
        <v>118</v>
      </c>
      <c r="F94" s="18" t="s">
        <v>154</v>
      </c>
      <c r="G94" s="15" t="s">
        <v>135</v>
      </c>
      <c r="H94" s="15" t="s">
        <v>694</v>
      </c>
      <c r="I94" s="15" t="s">
        <v>135</v>
      </c>
      <c r="J94" s="15" t="s">
        <v>695</v>
      </c>
      <c r="K94" s="15"/>
      <c r="L94" s="16"/>
      <c r="M94" s="15"/>
    </row>
    <row r="95" customFormat="false" ht="22.35" hidden="false" customHeight="false" outlineLevel="0" collapsed="false">
      <c r="A95" s="10" t="s">
        <v>696</v>
      </c>
      <c r="B95" s="11" t="s">
        <v>679</v>
      </c>
      <c r="C95" s="11" t="s">
        <v>697</v>
      </c>
      <c r="D95" s="11" t="s">
        <v>698</v>
      </c>
      <c r="E95" s="12" t="s">
        <v>133</v>
      </c>
      <c r="F95" s="17" t="s">
        <v>134</v>
      </c>
      <c r="G95" s="11" t="s">
        <v>135</v>
      </c>
      <c r="H95" s="11" t="s">
        <v>699</v>
      </c>
      <c r="I95" s="11" t="s">
        <v>135</v>
      </c>
      <c r="J95" s="11" t="s">
        <v>700</v>
      </c>
      <c r="K95" s="11"/>
      <c r="L95" s="12"/>
      <c r="M95" s="11"/>
    </row>
    <row r="96" customFormat="false" ht="22.35" hidden="false" customHeight="false" outlineLevel="0" collapsed="false">
      <c r="A96" s="14" t="s">
        <v>701</v>
      </c>
      <c r="B96" s="15" t="s">
        <v>702</v>
      </c>
      <c r="C96" s="15" t="s">
        <v>703</v>
      </c>
      <c r="D96" s="15" t="s">
        <v>704</v>
      </c>
      <c r="E96" s="16" t="s">
        <v>118</v>
      </c>
      <c r="F96" s="17" t="s">
        <v>134</v>
      </c>
      <c r="G96" s="15" t="s">
        <v>705</v>
      </c>
      <c r="H96" s="15" t="s">
        <v>706</v>
      </c>
      <c r="I96" s="15" t="s">
        <v>135</v>
      </c>
      <c r="J96" s="15" t="s">
        <v>707</v>
      </c>
      <c r="K96" s="15"/>
      <c r="L96" s="16"/>
      <c r="M96" s="15"/>
    </row>
    <row r="97" customFormat="false" ht="15" hidden="false" customHeight="false" outlineLevel="0" collapsed="false">
      <c r="A97" s="10" t="s">
        <v>708</v>
      </c>
      <c r="B97" s="11" t="s">
        <v>702</v>
      </c>
      <c r="C97" s="11" t="s">
        <v>709</v>
      </c>
      <c r="D97" s="11" t="s">
        <v>710</v>
      </c>
      <c r="E97" s="12" t="s">
        <v>133</v>
      </c>
      <c r="F97" s="17" t="s">
        <v>134</v>
      </c>
      <c r="G97" s="11" t="s">
        <v>135</v>
      </c>
      <c r="H97" s="11" t="s">
        <v>711</v>
      </c>
      <c r="I97" s="11" t="s">
        <v>712</v>
      </c>
      <c r="J97" s="11" t="s">
        <v>713</v>
      </c>
      <c r="K97" s="11"/>
      <c r="L97" s="12"/>
      <c r="M97" s="11"/>
    </row>
    <row r="98" customFormat="false" ht="22.35" hidden="false" customHeight="false" outlineLevel="0" collapsed="false">
      <c r="A98" s="14" t="s">
        <v>714</v>
      </c>
      <c r="B98" s="15" t="s">
        <v>715</v>
      </c>
      <c r="C98" s="15" t="s">
        <v>716</v>
      </c>
      <c r="D98" s="15" t="s">
        <v>717</v>
      </c>
      <c r="E98" s="16" t="s">
        <v>118</v>
      </c>
      <c r="F98" s="17" t="s">
        <v>134</v>
      </c>
      <c r="G98" s="15" t="s">
        <v>135</v>
      </c>
      <c r="H98" s="15" t="s">
        <v>718</v>
      </c>
      <c r="I98" s="15" t="s">
        <v>719</v>
      </c>
      <c r="J98" s="15" t="s">
        <v>720</v>
      </c>
      <c r="K98" s="15"/>
      <c r="L98" s="16"/>
      <c r="M98" s="15"/>
    </row>
    <row r="99" customFormat="false" ht="15" hidden="false" customHeight="false" outlineLevel="0" collapsed="false">
      <c r="A99" s="10" t="s">
        <v>721</v>
      </c>
      <c r="B99" s="11" t="s">
        <v>715</v>
      </c>
      <c r="C99" s="11" t="s">
        <v>722</v>
      </c>
      <c r="D99" s="11" t="s">
        <v>723</v>
      </c>
      <c r="E99" s="12" t="s">
        <v>118</v>
      </c>
      <c r="F99" s="18" t="s">
        <v>154</v>
      </c>
      <c r="G99" s="11" t="s">
        <v>135</v>
      </c>
      <c r="H99" s="11" t="s">
        <v>724</v>
      </c>
      <c r="I99" s="11" t="s">
        <v>135</v>
      </c>
      <c r="J99" s="11" t="s">
        <v>725</v>
      </c>
      <c r="K99" s="11"/>
      <c r="L99" s="12"/>
      <c r="M99" s="11"/>
    </row>
    <row r="100" customFormat="false" ht="22.35" hidden="false" customHeight="false" outlineLevel="0" collapsed="false">
      <c r="A100" s="14" t="s">
        <v>726</v>
      </c>
      <c r="B100" s="15" t="s">
        <v>727</v>
      </c>
      <c r="C100" s="15" t="s">
        <v>728</v>
      </c>
      <c r="D100" s="15" t="s">
        <v>729</v>
      </c>
      <c r="E100" s="16" t="s">
        <v>730</v>
      </c>
      <c r="F100" s="18" t="s">
        <v>154</v>
      </c>
      <c r="G100" s="15" t="s">
        <v>135</v>
      </c>
      <c r="H100" s="15" t="s">
        <v>731</v>
      </c>
      <c r="I100" s="15" t="s">
        <v>135</v>
      </c>
      <c r="J100" s="15" t="s">
        <v>732</v>
      </c>
      <c r="K100" s="15"/>
      <c r="L100" s="16"/>
      <c r="M100" s="15"/>
    </row>
    <row r="101" customFormat="false" ht="15" hidden="false" customHeight="false" outlineLevel="0" collapsed="false">
      <c r="A101" s="10" t="s">
        <v>733</v>
      </c>
      <c r="B101" s="11" t="s">
        <v>727</v>
      </c>
      <c r="C101" s="11" t="s">
        <v>734</v>
      </c>
      <c r="D101" s="11" t="s">
        <v>735</v>
      </c>
      <c r="E101" s="12" t="s">
        <v>730</v>
      </c>
      <c r="F101" s="17" t="s">
        <v>134</v>
      </c>
      <c r="G101" s="11" t="s">
        <v>135</v>
      </c>
      <c r="H101" s="11" t="s">
        <v>736</v>
      </c>
      <c r="I101" s="11" t="s">
        <v>135</v>
      </c>
      <c r="J101" s="11" t="s">
        <v>737</v>
      </c>
      <c r="K101" s="11"/>
      <c r="L101" s="12"/>
      <c r="M101" s="11"/>
    </row>
    <row r="102" customFormat="false" ht="15" hidden="false" customHeight="false" outlineLevel="0" collapsed="false">
      <c r="A102" s="14" t="s">
        <v>738</v>
      </c>
      <c r="B102" s="15" t="s">
        <v>727</v>
      </c>
      <c r="C102" s="15" t="s">
        <v>739</v>
      </c>
      <c r="D102" s="15" t="s">
        <v>740</v>
      </c>
      <c r="E102" s="16" t="s">
        <v>730</v>
      </c>
      <c r="F102" s="17" t="s">
        <v>134</v>
      </c>
      <c r="G102" s="15" t="s">
        <v>135</v>
      </c>
      <c r="H102" s="15" t="s">
        <v>741</v>
      </c>
      <c r="I102" s="15" t="s">
        <v>135</v>
      </c>
      <c r="J102" s="15" t="s">
        <v>742</v>
      </c>
      <c r="K102" s="15"/>
      <c r="L102" s="16"/>
      <c r="M102" s="15"/>
    </row>
    <row r="103" customFormat="false" ht="15" hidden="false" customHeight="false" outlineLevel="0" collapsed="false">
      <c r="A103" s="10" t="s">
        <v>743</v>
      </c>
      <c r="B103" s="11" t="s">
        <v>727</v>
      </c>
      <c r="C103" s="11" t="s">
        <v>744</v>
      </c>
      <c r="D103" s="11" t="s">
        <v>745</v>
      </c>
      <c r="E103" s="12" t="s">
        <v>730</v>
      </c>
      <c r="F103" s="18" t="s">
        <v>154</v>
      </c>
      <c r="G103" s="11" t="s">
        <v>135</v>
      </c>
      <c r="H103" s="11" t="s">
        <v>746</v>
      </c>
      <c r="I103" s="11" t="s">
        <v>135</v>
      </c>
      <c r="J103" s="11" t="s">
        <v>747</v>
      </c>
      <c r="K103" s="11"/>
      <c r="L103" s="12"/>
      <c r="M103" s="11"/>
    </row>
    <row r="104" customFormat="false" ht="22.35" hidden="false" customHeight="false" outlineLevel="0" collapsed="false">
      <c r="A104" s="14" t="s">
        <v>748</v>
      </c>
      <c r="B104" s="15" t="s">
        <v>727</v>
      </c>
      <c r="C104" s="15" t="s">
        <v>749</v>
      </c>
      <c r="D104" s="15" t="s">
        <v>750</v>
      </c>
      <c r="E104" s="16" t="s">
        <v>730</v>
      </c>
      <c r="F104" s="18" t="s">
        <v>154</v>
      </c>
      <c r="G104" s="15" t="s">
        <v>135</v>
      </c>
      <c r="H104" s="15" t="s">
        <v>751</v>
      </c>
      <c r="I104" s="15" t="s">
        <v>135</v>
      </c>
      <c r="J104" s="15" t="s">
        <v>752</v>
      </c>
      <c r="K104" s="15"/>
      <c r="L104" s="16"/>
      <c r="M104" s="15"/>
    </row>
  </sheetData>
  <autoFilter ref="A1:M1"/>
  <dataValidations count="1">
    <dataValidation allowBlank="true" errorStyle="stop" operator="between" showDropDown="false" showErrorMessage="false" showInputMessage="false" sqref="L2:L104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10" min="7" style="0" width="12"/>
  </cols>
  <sheetData>
    <row r="2" customFormat="false" ht="17.35" hidden="false" customHeight="false" outlineLevel="0" collapsed="false">
      <c r="B2" s="19" t="s">
        <v>753</v>
      </c>
      <c r="C2" s="19"/>
      <c r="D2" s="19"/>
      <c r="E2" s="19"/>
      <c r="F2" s="19"/>
      <c r="G2" s="19"/>
      <c r="H2" s="19"/>
      <c r="I2" s="19"/>
      <c r="J2" s="19"/>
    </row>
    <row r="4" customFormat="false" ht="15" hidden="false" customHeight="false" outlineLevel="0" collapsed="false">
      <c r="B4" s="20" t="s">
        <v>28</v>
      </c>
      <c r="C4" s="20" t="s">
        <v>754</v>
      </c>
      <c r="D4" s="20" t="s">
        <v>45</v>
      </c>
      <c r="E4" s="20" t="s">
        <v>134</v>
      </c>
      <c r="F4" s="20" t="s">
        <v>154</v>
      </c>
      <c r="G4" s="20" t="s">
        <v>755</v>
      </c>
      <c r="H4" s="20" t="s">
        <v>756</v>
      </c>
      <c r="I4" s="20" t="s">
        <v>757</v>
      </c>
      <c r="J4" s="20" t="s">
        <v>758</v>
      </c>
    </row>
    <row r="5" customFormat="false" ht="15" hidden="false" customHeight="false" outlineLevel="0" collapsed="false">
      <c r="B5" s="21" t="s">
        <v>115</v>
      </c>
      <c r="C5" s="22" t="n">
        <f aca="false">COUNTIF('Test Cases'!$B:$B,"Access")</f>
        <v>6</v>
      </c>
      <c r="D5" s="22" t="n">
        <f aca="false">COUNTIFS('Test Cases'!$B:$B,"Access",'Test Cases'!$F:$F,"P1")</f>
        <v>3</v>
      </c>
      <c r="E5" s="22" t="n">
        <f aca="false">COUNTIFS('Test Cases'!$B:$B,"Access",'Test Cases'!$F:$F,"P2")</f>
        <v>2</v>
      </c>
      <c r="F5" s="22" t="n">
        <f aca="false">COUNTIFS('Test Cases'!$B:$B,"Access",'Test Cases'!$F:$F,"P3")</f>
        <v>1</v>
      </c>
      <c r="G5" s="22" t="n">
        <f aca="false">COUNTIFS('Test Cases'!$B:$B,"Access",'Test Cases'!$L:$L,"Pass")</f>
        <v>0</v>
      </c>
      <c r="H5" s="22" t="n">
        <f aca="false">COUNTIFS('Test Cases'!$B:$B,"Access",'Test Cases'!$L:$L,"Fail")</f>
        <v>0</v>
      </c>
      <c r="I5" s="22" t="n">
        <f aca="false">COUNTIFS('Test Cases'!$B:$B,"Access",'Test Cases'!$L:$L,"Blocked")</f>
        <v>0</v>
      </c>
      <c r="J5" s="22" t="n">
        <f aca="false">COUNTIFS('Test Cases'!$B:$B,"Access",'Test Cases'!$L:$L,"Not Run")</f>
        <v>0</v>
      </c>
    </row>
    <row r="6" customFormat="false" ht="15" hidden="false" customHeight="false" outlineLevel="0" collapsed="false">
      <c r="B6" s="21" t="s">
        <v>159</v>
      </c>
      <c r="C6" s="22" t="n">
        <f aca="false">COUNTIF('Test Cases'!$B:$B,"Dashboard")</f>
        <v>3</v>
      </c>
      <c r="D6" s="22" t="n">
        <f aca="false">COUNTIFS('Test Cases'!$B:$B,"Dashboard",'Test Cases'!$F:$F,"P1")</f>
        <v>0</v>
      </c>
      <c r="E6" s="22" t="n">
        <f aca="false">COUNTIFS('Test Cases'!$B:$B,"Dashboard",'Test Cases'!$F:$F,"P2")</f>
        <v>1</v>
      </c>
      <c r="F6" s="22" t="n">
        <f aca="false">COUNTIFS('Test Cases'!$B:$B,"Dashboard",'Test Cases'!$F:$F,"P3")</f>
        <v>2</v>
      </c>
      <c r="G6" s="22" t="n">
        <f aca="false">COUNTIFS('Test Cases'!$B:$B,"Dashboard",'Test Cases'!$L:$L,"Pass")</f>
        <v>0</v>
      </c>
      <c r="H6" s="22" t="n">
        <f aca="false">COUNTIFS('Test Cases'!$B:$B,"Dashboard",'Test Cases'!$L:$L,"Fail")</f>
        <v>0</v>
      </c>
      <c r="I6" s="22" t="n">
        <f aca="false">COUNTIFS('Test Cases'!$B:$B,"Dashboard",'Test Cases'!$L:$L,"Blocked")</f>
        <v>0</v>
      </c>
      <c r="J6" s="22" t="n">
        <f aca="false">COUNTIFS('Test Cases'!$B:$B,"Dashboard",'Test Cases'!$L:$L,"Not Run")</f>
        <v>0</v>
      </c>
    </row>
    <row r="7" customFormat="false" ht="15" hidden="false" customHeight="false" outlineLevel="0" collapsed="false">
      <c r="B7" s="21" t="s">
        <v>177</v>
      </c>
      <c r="C7" s="22" t="n">
        <f aca="false">COUNTIF('Test Cases'!$B:$B,"Clients")</f>
        <v>5</v>
      </c>
      <c r="D7" s="22" t="n">
        <f aca="false">COUNTIFS('Test Cases'!$B:$B,"Clients",'Test Cases'!$F:$F,"P1")</f>
        <v>1</v>
      </c>
      <c r="E7" s="22" t="n">
        <f aca="false">COUNTIFS('Test Cases'!$B:$B,"Clients",'Test Cases'!$F:$F,"P2")</f>
        <v>3</v>
      </c>
      <c r="F7" s="22" t="n">
        <f aca="false">COUNTIFS('Test Cases'!$B:$B,"Clients",'Test Cases'!$F:$F,"P3")</f>
        <v>1</v>
      </c>
      <c r="G7" s="22" t="n">
        <f aca="false">COUNTIFS('Test Cases'!$B:$B,"Clients",'Test Cases'!$L:$L,"Pass")</f>
        <v>0</v>
      </c>
      <c r="H7" s="22" t="n">
        <f aca="false">COUNTIFS('Test Cases'!$B:$B,"Clients",'Test Cases'!$L:$L,"Fail")</f>
        <v>0</v>
      </c>
      <c r="I7" s="22" t="n">
        <f aca="false">COUNTIFS('Test Cases'!$B:$B,"Clients",'Test Cases'!$L:$L,"Blocked")</f>
        <v>0</v>
      </c>
      <c r="J7" s="22" t="n">
        <f aca="false">COUNTIFS('Test Cases'!$B:$B,"Clients",'Test Cases'!$L:$L,"Not Run")</f>
        <v>0</v>
      </c>
    </row>
    <row r="8" customFormat="false" ht="15" hidden="false" customHeight="false" outlineLevel="0" collapsed="false">
      <c r="B8" s="21" t="s">
        <v>41</v>
      </c>
      <c r="C8" s="22" t="n">
        <f aca="false">COUNTIF('Test Cases'!$B:$B,"Licences")</f>
        <v>14</v>
      </c>
      <c r="D8" s="22" t="n">
        <f aca="false">COUNTIFS('Test Cases'!$B:$B,"Licences",'Test Cases'!$F:$F,"P1")</f>
        <v>2</v>
      </c>
      <c r="E8" s="22" t="n">
        <f aca="false">COUNTIFS('Test Cases'!$B:$B,"Licences",'Test Cases'!$F:$F,"P2")</f>
        <v>8</v>
      </c>
      <c r="F8" s="22" t="n">
        <f aca="false">COUNTIFS('Test Cases'!$B:$B,"Licences",'Test Cases'!$F:$F,"P3")</f>
        <v>4</v>
      </c>
      <c r="G8" s="22" t="n">
        <f aca="false">COUNTIFS('Test Cases'!$B:$B,"Licences",'Test Cases'!$L:$L,"Pass")</f>
        <v>0</v>
      </c>
      <c r="H8" s="22" t="n">
        <f aca="false">COUNTIFS('Test Cases'!$B:$B,"Licences",'Test Cases'!$L:$L,"Fail")</f>
        <v>0</v>
      </c>
      <c r="I8" s="22" t="n">
        <f aca="false">COUNTIFS('Test Cases'!$B:$B,"Licences",'Test Cases'!$L:$L,"Blocked")</f>
        <v>0</v>
      </c>
      <c r="J8" s="22" t="n">
        <f aca="false">COUNTIFS('Test Cases'!$B:$B,"Licences",'Test Cases'!$L:$L,"Not Run")</f>
        <v>0</v>
      </c>
    </row>
    <row r="9" customFormat="false" ht="15" hidden="false" customHeight="false" outlineLevel="0" collapsed="false">
      <c r="B9" s="21" t="s">
        <v>63</v>
      </c>
      <c r="C9" s="22" t="n">
        <f aca="false">COUNTIF('Test Cases'!$B:$B,"Orders")</f>
        <v>15</v>
      </c>
      <c r="D9" s="22" t="n">
        <f aca="false">COUNTIFS('Test Cases'!$B:$B,"Orders",'Test Cases'!$F:$F,"P1")</f>
        <v>3</v>
      </c>
      <c r="E9" s="22" t="n">
        <f aca="false">COUNTIFS('Test Cases'!$B:$B,"Orders",'Test Cases'!$F:$F,"P2")</f>
        <v>9</v>
      </c>
      <c r="F9" s="22" t="n">
        <f aca="false">COUNTIFS('Test Cases'!$B:$B,"Orders",'Test Cases'!$F:$F,"P3")</f>
        <v>3</v>
      </c>
      <c r="G9" s="22" t="n">
        <f aca="false">COUNTIFS('Test Cases'!$B:$B,"Orders",'Test Cases'!$L:$L,"Pass")</f>
        <v>0</v>
      </c>
      <c r="H9" s="22" t="n">
        <f aca="false">COUNTIFS('Test Cases'!$B:$B,"Orders",'Test Cases'!$L:$L,"Fail")</f>
        <v>0</v>
      </c>
      <c r="I9" s="22" t="n">
        <f aca="false">COUNTIFS('Test Cases'!$B:$B,"Orders",'Test Cases'!$L:$L,"Blocked")</f>
        <v>0</v>
      </c>
      <c r="J9" s="22" t="n">
        <f aca="false">COUNTIFS('Test Cases'!$B:$B,"Orders",'Test Cases'!$L:$L,"Not Run")</f>
        <v>0</v>
      </c>
    </row>
    <row r="10" customFormat="false" ht="15" hidden="false" customHeight="false" outlineLevel="0" collapsed="false">
      <c r="B10" s="21" t="s">
        <v>391</v>
      </c>
      <c r="C10" s="22" t="n">
        <f aca="false">COUNTIF('Test Cases'!$B:$B,"Trials")</f>
        <v>4</v>
      </c>
      <c r="D10" s="22" t="n">
        <f aca="false">COUNTIFS('Test Cases'!$B:$B,"Trials",'Test Cases'!$F:$F,"P1")</f>
        <v>1</v>
      </c>
      <c r="E10" s="22" t="n">
        <f aca="false">COUNTIFS('Test Cases'!$B:$B,"Trials",'Test Cases'!$F:$F,"P2")</f>
        <v>2</v>
      </c>
      <c r="F10" s="22" t="n">
        <f aca="false">COUNTIFS('Test Cases'!$B:$B,"Trials",'Test Cases'!$F:$F,"P3")</f>
        <v>1</v>
      </c>
      <c r="G10" s="22" t="n">
        <f aca="false">COUNTIFS('Test Cases'!$B:$B,"Trials",'Test Cases'!$L:$L,"Pass")</f>
        <v>0</v>
      </c>
      <c r="H10" s="22" t="n">
        <f aca="false">COUNTIFS('Test Cases'!$B:$B,"Trials",'Test Cases'!$L:$L,"Fail")</f>
        <v>0</v>
      </c>
      <c r="I10" s="22" t="n">
        <f aca="false">COUNTIFS('Test Cases'!$B:$B,"Trials",'Test Cases'!$L:$L,"Blocked")</f>
        <v>0</v>
      </c>
      <c r="J10" s="22" t="n">
        <f aca="false">COUNTIFS('Test Cases'!$B:$B,"Trials",'Test Cases'!$L:$L,"Not Run")</f>
        <v>0</v>
      </c>
    </row>
    <row r="11" customFormat="false" ht="15" hidden="false" customHeight="false" outlineLevel="0" collapsed="false">
      <c r="B11" s="21" t="s">
        <v>417</v>
      </c>
      <c r="C11" s="22" t="n">
        <f aca="false">COUNTIF('Test Cases'!$B:$B,"Credit")</f>
        <v>2</v>
      </c>
      <c r="D11" s="22" t="n">
        <f aca="false">COUNTIFS('Test Cases'!$B:$B,"Credit",'Test Cases'!$F:$F,"P1")</f>
        <v>0</v>
      </c>
      <c r="E11" s="22" t="n">
        <f aca="false">COUNTIFS('Test Cases'!$B:$B,"Credit",'Test Cases'!$F:$F,"P2")</f>
        <v>1</v>
      </c>
      <c r="F11" s="22" t="n">
        <f aca="false">COUNTIFS('Test Cases'!$B:$B,"Credit",'Test Cases'!$F:$F,"P3")</f>
        <v>1</v>
      </c>
      <c r="G11" s="22" t="n">
        <f aca="false">COUNTIFS('Test Cases'!$B:$B,"Credit",'Test Cases'!$L:$L,"Pass")</f>
        <v>0</v>
      </c>
      <c r="H11" s="22" t="n">
        <f aca="false">COUNTIFS('Test Cases'!$B:$B,"Credit",'Test Cases'!$L:$L,"Fail")</f>
        <v>0</v>
      </c>
      <c r="I11" s="22" t="n">
        <f aca="false">COUNTIFS('Test Cases'!$B:$B,"Credit",'Test Cases'!$L:$L,"Blocked")</f>
        <v>0</v>
      </c>
      <c r="J11" s="22" t="n">
        <f aca="false">COUNTIFS('Test Cases'!$B:$B,"Credit",'Test Cases'!$L:$L,"Not Run")</f>
        <v>0</v>
      </c>
    </row>
    <row r="12" customFormat="false" ht="15" hidden="false" customHeight="false" outlineLevel="0" collapsed="false">
      <c r="B12" s="21" t="s">
        <v>429</v>
      </c>
      <c r="C12" s="22" t="n">
        <f aca="false">COUNTIF('Test Cases'!$B:$B,"Invoices")</f>
        <v>3</v>
      </c>
      <c r="D12" s="22" t="n">
        <f aca="false">COUNTIFS('Test Cases'!$B:$B,"Invoices",'Test Cases'!$F:$F,"P1")</f>
        <v>0</v>
      </c>
      <c r="E12" s="22" t="n">
        <f aca="false">COUNTIFS('Test Cases'!$B:$B,"Invoices",'Test Cases'!$F:$F,"P2")</f>
        <v>2</v>
      </c>
      <c r="F12" s="22" t="n">
        <f aca="false">COUNTIFS('Test Cases'!$B:$B,"Invoices",'Test Cases'!$F:$F,"P3")</f>
        <v>1</v>
      </c>
      <c r="G12" s="22" t="n">
        <f aca="false">COUNTIFS('Test Cases'!$B:$B,"Invoices",'Test Cases'!$L:$L,"Pass")</f>
        <v>0</v>
      </c>
      <c r="H12" s="22" t="n">
        <f aca="false">COUNTIFS('Test Cases'!$B:$B,"Invoices",'Test Cases'!$L:$L,"Fail")</f>
        <v>0</v>
      </c>
      <c r="I12" s="22" t="n">
        <f aca="false">COUNTIFS('Test Cases'!$B:$B,"Invoices",'Test Cases'!$L:$L,"Blocked")</f>
        <v>0</v>
      </c>
      <c r="J12" s="22" t="n">
        <f aca="false">COUNTIFS('Test Cases'!$B:$B,"Invoices",'Test Cases'!$L:$L,"Not Run")</f>
        <v>0</v>
      </c>
    </row>
    <row r="13" customFormat="false" ht="15" hidden="false" customHeight="false" outlineLevel="0" collapsed="false">
      <c r="B13" s="21" t="s">
        <v>448</v>
      </c>
      <c r="C13" s="22" t="n">
        <f aca="false">COUNTIF('Test Cases'!$B:$B,"Coupons")</f>
        <v>3</v>
      </c>
      <c r="D13" s="22" t="n">
        <f aca="false">COUNTIFS('Test Cases'!$B:$B,"Coupons",'Test Cases'!$F:$F,"P1")</f>
        <v>0</v>
      </c>
      <c r="E13" s="22" t="n">
        <f aca="false">COUNTIFS('Test Cases'!$B:$B,"Coupons",'Test Cases'!$F:$F,"P2")</f>
        <v>2</v>
      </c>
      <c r="F13" s="22" t="n">
        <f aca="false">COUNTIFS('Test Cases'!$B:$B,"Coupons",'Test Cases'!$F:$F,"P3")</f>
        <v>1</v>
      </c>
      <c r="G13" s="22" t="n">
        <f aca="false">COUNTIFS('Test Cases'!$B:$B,"Coupons",'Test Cases'!$L:$L,"Pass")</f>
        <v>0</v>
      </c>
      <c r="H13" s="22" t="n">
        <f aca="false">COUNTIFS('Test Cases'!$B:$B,"Coupons",'Test Cases'!$L:$L,"Fail")</f>
        <v>0</v>
      </c>
      <c r="I13" s="22" t="n">
        <f aca="false">COUNTIFS('Test Cases'!$B:$B,"Coupons",'Test Cases'!$L:$L,"Blocked")</f>
        <v>0</v>
      </c>
      <c r="J13" s="22" t="n">
        <f aca="false">COUNTIFS('Test Cases'!$B:$B,"Coupons",'Test Cases'!$L:$L,"Not Run")</f>
        <v>0</v>
      </c>
    </row>
    <row r="14" customFormat="false" ht="15" hidden="false" customHeight="false" outlineLevel="0" collapsed="false">
      <c r="B14" s="21" t="s">
        <v>466</v>
      </c>
      <c r="C14" s="22" t="n">
        <f aca="false">COUNTIF('Test Cases'!$B:$B,"Leads")</f>
        <v>2</v>
      </c>
      <c r="D14" s="22" t="n">
        <f aca="false">COUNTIFS('Test Cases'!$B:$B,"Leads",'Test Cases'!$F:$F,"P1")</f>
        <v>0</v>
      </c>
      <c r="E14" s="22" t="n">
        <f aca="false">COUNTIFS('Test Cases'!$B:$B,"Leads",'Test Cases'!$F:$F,"P2")</f>
        <v>1</v>
      </c>
      <c r="F14" s="22" t="n">
        <f aca="false">COUNTIFS('Test Cases'!$B:$B,"Leads",'Test Cases'!$F:$F,"P3")</f>
        <v>1</v>
      </c>
      <c r="G14" s="22" t="n">
        <f aca="false">COUNTIFS('Test Cases'!$B:$B,"Leads",'Test Cases'!$L:$L,"Pass")</f>
        <v>0</v>
      </c>
      <c r="H14" s="22" t="n">
        <f aca="false">COUNTIFS('Test Cases'!$B:$B,"Leads",'Test Cases'!$L:$L,"Fail")</f>
        <v>0</v>
      </c>
      <c r="I14" s="22" t="n">
        <f aca="false">COUNTIFS('Test Cases'!$B:$B,"Leads",'Test Cases'!$L:$L,"Blocked")</f>
        <v>0</v>
      </c>
      <c r="J14" s="22" t="n">
        <f aca="false">COUNTIFS('Test Cases'!$B:$B,"Leads",'Test Cases'!$L:$L,"Not Run")</f>
        <v>0</v>
      </c>
    </row>
    <row r="15" customFormat="false" ht="15" hidden="false" customHeight="false" outlineLevel="0" collapsed="false">
      <c r="B15" s="21" t="s">
        <v>71</v>
      </c>
      <c r="C15" s="22" t="n">
        <f aca="false">COUNTIF('Test Cases'!$B:$B,"Support")</f>
        <v>6</v>
      </c>
      <c r="D15" s="22" t="n">
        <f aca="false">COUNTIFS('Test Cases'!$B:$B,"Support",'Test Cases'!$F:$F,"P1")</f>
        <v>0</v>
      </c>
      <c r="E15" s="22" t="n">
        <f aca="false">COUNTIFS('Test Cases'!$B:$B,"Support",'Test Cases'!$F:$F,"P2")</f>
        <v>3</v>
      </c>
      <c r="F15" s="22" t="n">
        <f aca="false">COUNTIFS('Test Cases'!$B:$B,"Support",'Test Cases'!$F:$F,"P3")</f>
        <v>3</v>
      </c>
      <c r="G15" s="22" t="n">
        <f aca="false">COUNTIFS('Test Cases'!$B:$B,"Support",'Test Cases'!$L:$L,"Pass")</f>
        <v>0</v>
      </c>
      <c r="H15" s="22" t="n">
        <f aca="false">COUNTIFS('Test Cases'!$B:$B,"Support",'Test Cases'!$L:$L,"Fail")</f>
        <v>0</v>
      </c>
      <c r="I15" s="22" t="n">
        <f aca="false">COUNTIFS('Test Cases'!$B:$B,"Support",'Test Cases'!$L:$L,"Blocked")</f>
        <v>0</v>
      </c>
      <c r="J15" s="22" t="n">
        <f aca="false">COUNTIFS('Test Cases'!$B:$B,"Support",'Test Cases'!$L:$L,"Not Run")</f>
        <v>0</v>
      </c>
    </row>
    <row r="16" customFormat="false" ht="15" hidden="false" customHeight="false" outlineLevel="0" collapsed="false">
      <c r="B16" s="21" t="s">
        <v>93</v>
      </c>
      <c r="C16" s="22" t="n">
        <f aca="false">COUNTIF('Test Cases'!$B:$B,"Downloads")</f>
        <v>6</v>
      </c>
      <c r="D16" s="22" t="n">
        <f aca="false">COUNTIFS('Test Cases'!$B:$B,"Downloads",'Test Cases'!$F:$F,"P1")</f>
        <v>0</v>
      </c>
      <c r="E16" s="22" t="n">
        <f aca="false">COUNTIFS('Test Cases'!$B:$B,"Downloads",'Test Cases'!$F:$F,"P2")</f>
        <v>3</v>
      </c>
      <c r="F16" s="22" t="n">
        <f aca="false">COUNTIFS('Test Cases'!$B:$B,"Downloads",'Test Cases'!$F:$F,"P3")</f>
        <v>3</v>
      </c>
      <c r="G16" s="22" t="n">
        <f aca="false">COUNTIFS('Test Cases'!$B:$B,"Downloads",'Test Cases'!$L:$L,"Pass")</f>
        <v>0</v>
      </c>
      <c r="H16" s="22" t="n">
        <f aca="false">COUNTIFS('Test Cases'!$B:$B,"Downloads",'Test Cases'!$L:$L,"Fail")</f>
        <v>0</v>
      </c>
      <c r="I16" s="22" t="n">
        <f aca="false">COUNTIFS('Test Cases'!$B:$B,"Downloads",'Test Cases'!$L:$L,"Blocked")</f>
        <v>0</v>
      </c>
      <c r="J16" s="22" t="n">
        <f aca="false">COUNTIFS('Test Cases'!$B:$B,"Downloads",'Test Cases'!$L:$L,"Not Run")</f>
        <v>0</v>
      </c>
    </row>
    <row r="17" customFormat="false" ht="15" hidden="false" customHeight="false" outlineLevel="0" collapsed="false">
      <c r="B17" s="21" t="s">
        <v>552</v>
      </c>
      <c r="C17" s="22" t="n">
        <f aca="false">COUNTIF('Test Cases'!$B:$B,"Storage")</f>
        <v>2</v>
      </c>
      <c r="D17" s="22" t="n">
        <f aca="false">COUNTIFS('Test Cases'!$B:$B,"Storage",'Test Cases'!$F:$F,"P1")</f>
        <v>0</v>
      </c>
      <c r="E17" s="22" t="n">
        <f aca="false">COUNTIFS('Test Cases'!$B:$B,"Storage",'Test Cases'!$F:$F,"P2")</f>
        <v>0</v>
      </c>
      <c r="F17" s="22" t="n">
        <f aca="false">COUNTIFS('Test Cases'!$B:$B,"Storage",'Test Cases'!$F:$F,"P3")</f>
        <v>2</v>
      </c>
      <c r="G17" s="22" t="n">
        <f aca="false">COUNTIFS('Test Cases'!$B:$B,"Storage",'Test Cases'!$L:$L,"Pass")</f>
        <v>0</v>
      </c>
      <c r="H17" s="22" t="n">
        <f aca="false">COUNTIFS('Test Cases'!$B:$B,"Storage",'Test Cases'!$L:$L,"Fail")</f>
        <v>0</v>
      </c>
      <c r="I17" s="22" t="n">
        <f aca="false">COUNTIFS('Test Cases'!$B:$B,"Storage",'Test Cases'!$L:$L,"Blocked")</f>
        <v>0</v>
      </c>
      <c r="J17" s="22" t="n">
        <f aca="false">COUNTIFS('Test Cases'!$B:$B,"Storage",'Test Cases'!$L:$L,"Not Run")</f>
        <v>0</v>
      </c>
    </row>
    <row r="18" customFormat="false" ht="15" hidden="false" customHeight="false" outlineLevel="0" collapsed="false">
      <c r="B18" s="21" t="s">
        <v>567</v>
      </c>
      <c r="C18" s="22" t="n">
        <f aca="false">COUNTIF('Test Cases'!$B:$B,"Plans")</f>
        <v>2</v>
      </c>
      <c r="D18" s="22" t="n">
        <f aca="false">COUNTIFS('Test Cases'!$B:$B,"Plans",'Test Cases'!$F:$F,"P1")</f>
        <v>0</v>
      </c>
      <c r="E18" s="22" t="n">
        <f aca="false">COUNTIFS('Test Cases'!$B:$B,"Plans",'Test Cases'!$F:$F,"P2")</f>
        <v>1</v>
      </c>
      <c r="F18" s="22" t="n">
        <f aca="false">COUNTIFS('Test Cases'!$B:$B,"Plans",'Test Cases'!$F:$F,"P3")</f>
        <v>1</v>
      </c>
      <c r="G18" s="22" t="n">
        <f aca="false">COUNTIFS('Test Cases'!$B:$B,"Plans",'Test Cases'!$L:$L,"Pass")</f>
        <v>0</v>
      </c>
      <c r="H18" s="22" t="n">
        <f aca="false">COUNTIFS('Test Cases'!$B:$B,"Plans",'Test Cases'!$L:$L,"Fail")</f>
        <v>0</v>
      </c>
      <c r="I18" s="22" t="n">
        <f aca="false">COUNTIFS('Test Cases'!$B:$B,"Plans",'Test Cases'!$L:$L,"Blocked")</f>
        <v>0</v>
      </c>
      <c r="J18" s="22" t="n">
        <f aca="false">COUNTIFS('Test Cases'!$B:$B,"Plans",'Test Cases'!$L:$L,"Not Run")</f>
        <v>0</v>
      </c>
    </row>
    <row r="19" customFormat="false" ht="15" hidden="false" customHeight="false" outlineLevel="0" collapsed="false">
      <c r="B19" s="21" t="s">
        <v>581</v>
      </c>
      <c r="C19" s="22" t="n">
        <f aca="false">COUNTIF('Test Cases'!$B:$B,"Settings")</f>
        <v>5</v>
      </c>
      <c r="D19" s="22" t="n">
        <f aca="false">COUNTIFS('Test Cases'!$B:$B,"Settings",'Test Cases'!$F:$F,"P1")</f>
        <v>1</v>
      </c>
      <c r="E19" s="22" t="n">
        <f aca="false">COUNTIFS('Test Cases'!$B:$B,"Settings",'Test Cases'!$F:$F,"P2")</f>
        <v>3</v>
      </c>
      <c r="F19" s="22" t="n">
        <f aca="false">COUNTIFS('Test Cases'!$B:$B,"Settings",'Test Cases'!$F:$F,"P3")</f>
        <v>1</v>
      </c>
      <c r="G19" s="22" t="n">
        <f aca="false">COUNTIFS('Test Cases'!$B:$B,"Settings",'Test Cases'!$L:$L,"Pass")</f>
        <v>0</v>
      </c>
      <c r="H19" s="22" t="n">
        <f aca="false">COUNTIFS('Test Cases'!$B:$B,"Settings",'Test Cases'!$L:$L,"Fail")</f>
        <v>0</v>
      </c>
      <c r="I19" s="22" t="n">
        <f aca="false">COUNTIFS('Test Cases'!$B:$B,"Settings",'Test Cases'!$L:$L,"Blocked")</f>
        <v>0</v>
      </c>
      <c r="J19" s="22" t="n">
        <f aca="false">COUNTIFS('Test Cases'!$B:$B,"Settings",'Test Cases'!$L:$L,"Not Run")</f>
        <v>0</v>
      </c>
    </row>
    <row r="20" customFormat="false" ht="15" hidden="false" customHeight="false" outlineLevel="0" collapsed="false">
      <c r="B20" s="21" t="s">
        <v>611</v>
      </c>
      <c r="C20" s="22" t="n">
        <f aca="false">COUNTIF('Test Cases'!$B:$B,"WA Templates")</f>
        <v>2</v>
      </c>
      <c r="D20" s="22" t="n">
        <f aca="false">COUNTIFS('Test Cases'!$B:$B,"WA Templates",'Test Cases'!$F:$F,"P1")</f>
        <v>0</v>
      </c>
      <c r="E20" s="22" t="n">
        <f aca="false">COUNTIFS('Test Cases'!$B:$B,"WA Templates",'Test Cases'!$F:$F,"P2")</f>
        <v>0</v>
      </c>
      <c r="F20" s="22" t="n">
        <f aca="false">COUNTIFS('Test Cases'!$B:$B,"WA Templates",'Test Cases'!$F:$F,"P3")</f>
        <v>2</v>
      </c>
      <c r="G20" s="22" t="n">
        <f aca="false">COUNTIFS('Test Cases'!$B:$B,"WA Templates",'Test Cases'!$L:$L,"Pass")</f>
        <v>0</v>
      </c>
      <c r="H20" s="22" t="n">
        <f aca="false">COUNTIFS('Test Cases'!$B:$B,"WA Templates",'Test Cases'!$L:$L,"Fail")</f>
        <v>0</v>
      </c>
      <c r="I20" s="22" t="n">
        <f aca="false">COUNTIFS('Test Cases'!$B:$B,"WA Templates",'Test Cases'!$L:$L,"Blocked")</f>
        <v>0</v>
      </c>
      <c r="J20" s="22" t="n">
        <f aca="false">COUNTIFS('Test Cases'!$B:$B,"WA Templates",'Test Cases'!$L:$L,"Not Run")</f>
        <v>0</v>
      </c>
    </row>
    <row r="21" customFormat="false" ht="15" hidden="false" customHeight="false" outlineLevel="0" collapsed="false">
      <c r="B21" s="21" t="s">
        <v>623</v>
      </c>
      <c r="C21" s="22" t="n">
        <f aca="false">COUNTIF('Test Cases'!$B:$B,"Admin/RBAC")</f>
        <v>6</v>
      </c>
      <c r="D21" s="22" t="n">
        <f aca="false">COUNTIFS('Test Cases'!$B:$B,"Admin/RBAC",'Test Cases'!$F:$F,"P1")</f>
        <v>2</v>
      </c>
      <c r="E21" s="22" t="n">
        <f aca="false">COUNTIFS('Test Cases'!$B:$B,"Admin/RBAC",'Test Cases'!$F:$F,"P2")</f>
        <v>2</v>
      </c>
      <c r="F21" s="22" t="n">
        <f aca="false">COUNTIFS('Test Cases'!$B:$B,"Admin/RBAC",'Test Cases'!$F:$F,"P3")</f>
        <v>2</v>
      </c>
      <c r="G21" s="22" t="n">
        <f aca="false">COUNTIFS('Test Cases'!$B:$B,"Admin/RBAC",'Test Cases'!$L:$L,"Pass")</f>
        <v>0</v>
      </c>
      <c r="H21" s="22" t="n">
        <f aca="false">COUNTIFS('Test Cases'!$B:$B,"Admin/RBAC",'Test Cases'!$L:$L,"Fail")</f>
        <v>0</v>
      </c>
      <c r="I21" s="22" t="n">
        <f aca="false">COUNTIFS('Test Cases'!$B:$B,"Admin/RBAC",'Test Cases'!$L:$L,"Blocked")</f>
        <v>0</v>
      </c>
      <c r="J21" s="22" t="n">
        <f aca="false">COUNTIFS('Test Cases'!$B:$B,"Admin/RBAC",'Test Cases'!$L:$L,"Not Run")</f>
        <v>0</v>
      </c>
    </row>
    <row r="22" customFormat="false" ht="15" hidden="false" customHeight="false" outlineLevel="0" collapsed="false">
      <c r="B22" s="21" t="s">
        <v>657</v>
      </c>
      <c r="C22" s="22" t="n">
        <f aca="false">COUNTIF('Test Cases'!$B:$B,"Diagnostics")</f>
        <v>2</v>
      </c>
      <c r="D22" s="22" t="n">
        <f aca="false">COUNTIFS('Test Cases'!$B:$B,"Diagnostics",'Test Cases'!$F:$F,"P1")</f>
        <v>0</v>
      </c>
      <c r="E22" s="22" t="n">
        <f aca="false">COUNTIFS('Test Cases'!$B:$B,"Diagnostics",'Test Cases'!$F:$F,"P2")</f>
        <v>1</v>
      </c>
      <c r="F22" s="22" t="n">
        <f aca="false">COUNTIFS('Test Cases'!$B:$B,"Diagnostics",'Test Cases'!$F:$F,"P3")</f>
        <v>1</v>
      </c>
      <c r="G22" s="22" t="n">
        <f aca="false">COUNTIFS('Test Cases'!$B:$B,"Diagnostics",'Test Cases'!$L:$L,"Pass")</f>
        <v>0</v>
      </c>
      <c r="H22" s="22" t="n">
        <f aca="false">COUNTIFS('Test Cases'!$B:$B,"Diagnostics",'Test Cases'!$L:$L,"Fail")</f>
        <v>0</v>
      </c>
      <c r="I22" s="22" t="n">
        <f aca="false">COUNTIFS('Test Cases'!$B:$B,"Diagnostics",'Test Cases'!$L:$L,"Blocked")</f>
        <v>0</v>
      </c>
      <c r="J22" s="22" t="n">
        <f aca="false">COUNTIFS('Test Cases'!$B:$B,"Diagnostics",'Test Cases'!$L:$L,"Not Run")</f>
        <v>0</v>
      </c>
    </row>
    <row r="23" customFormat="false" ht="15" hidden="false" customHeight="false" outlineLevel="0" collapsed="false">
      <c r="B23" s="21" t="s">
        <v>668</v>
      </c>
      <c r="C23" s="22" t="n">
        <f aca="false">COUNTIF('Test Cases'!$B:$B,"Audit")</f>
        <v>2</v>
      </c>
      <c r="D23" s="22" t="n">
        <f aca="false">COUNTIFS('Test Cases'!$B:$B,"Audit",'Test Cases'!$F:$F,"P1")</f>
        <v>0</v>
      </c>
      <c r="E23" s="22" t="n">
        <f aca="false">COUNTIFS('Test Cases'!$B:$B,"Audit",'Test Cases'!$F:$F,"P2")</f>
        <v>1</v>
      </c>
      <c r="F23" s="22" t="n">
        <f aca="false">COUNTIFS('Test Cases'!$B:$B,"Audit",'Test Cases'!$F:$F,"P3")</f>
        <v>1</v>
      </c>
      <c r="G23" s="22" t="n">
        <f aca="false">COUNTIFS('Test Cases'!$B:$B,"Audit",'Test Cases'!$L:$L,"Pass")</f>
        <v>0</v>
      </c>
      <c r="H23" s="22" t="n">
        <f aca="false">COUNTIFS('Test Cases'!$B:$B,"Audit",'Test Cases'!$L:$L,"Fail")</f>
        <v>0</v>
      </c>
      <c r="I23" s="22" t="n">
        <f aca="false">COUNTIFS('Test Cases'!$B:$B,"Audit",'Test Cases'!$L:$L,"Blocked")</f>
        <v>0</v>
      </c>
      <c r="J23" s="22" t="n">
        <f aca="false">COUNTIFS('Test Cases'!$B:$B,"Audit",'Test Cases'!$L:$L,"Not Run")</f>
        <v>0</v>
      </c>
    </row>
    <row r="24" customFormat="false" ht="15" hidden="false" customHeight="false" outlineLevel="0" collapsed="false">
      <c r="B24" s="21" t="s">
        <v>679</v>
      </c>
      <c r="C24" s="22" t="n">
        <f aca="false">COUNTIF('Test Cases'!$B:$B,"Reports")</f>
        <v>4</v>
      </c>
      <c r="D24" s="22" t="n">
        <f aca="false">COUNTIFS('Test Cases'!$B:$B,"Reports",'Test Cases'!$F:$F,"P1")</f>
        <v>0</v>
      </c>
      <c r="E24" s="22" t="n">
        <f aca="false">COUNTIFS('Test Cases'!$B:$B,"Reports",'Test Cases'!$F:$F,"P2")</f>
        <v>2</v>
      </c>
      <c r="F24" s="22" t="n">
        <f aca="false">COUNTIFS('Test Cases'!$B:$B,"Reports",'Test Cases'!$F:$F,"P3")</f>
        <v>2</v>
      </c>
      <c r="G24" s="22" t="n">
        <f aca="false">COUNTIFS('Test Cases'!$B:$B,"Reports",'Test Cases'!$L:$L,"Pass")</f>
        <v>0</v>
      </c>
      <c r="H24" s="22" t="n">
        <f aca="false">COUNTIFS('Test Cases'!$B:$B,"Reports",'Test Cases'!$L:$L,"Fail")</f>
        <v>0</v>
      </c>
      <c r="I24" s="22" t="n">
        <f aca="false">COUNTIFS('Test Cases'!$B:$B,"Reports",'Test Cases'!$L:$L,"Blocked")</f>
        <v>0</v>
      </c>
      <c r="J24" s="22" t="n">
        <f aca="false">COUNTIFS('Test Cases'!$B:$B,"Reports",'Test Cases'!$L:$L,"Not Run")</f>
        <v>0</v>
      </c>
    </row>
    <row r="25" customFormat="false" ht="15" hidden="false" customHeight="false" outlineLevel="0" collapsed="false">
      <c r="B25" s="21" t="s">
        <v>702</v>
      </c>
      <c r="C25" s="22" t="n">
        <f aca="false">COUNTIF('Test Cases'!$B:$B,"Checkout")</f>
        <v>2</v>
      </c>
      <c r="D25" s="22" t="n">
        <f aca="false">COUNTIFS('Test Cases'!$B:$B,"Checkout",'Test Cases'!$F:$F,"P1")</f>
        <v>0</v>
      </c>
      <c r="E25" s="22" t="n">
        <f aca="false">COUNTIFS('Test Cases'!$B:$B,"Checkout",'Test Cases'!$F:$F,"P2")</f>
        <v>2</v>
      </c>
      <c r="F25" s="22" t="n">
        <f aca="false">COUNTIFS('Test Cases'!$B:$B,"Checkout",'Test Cases'!$F:$F,"P3")</f>
        <v>0</v>
      </c>
      <c r="G25" s="22" t="n">
        <f aca="false">COUNTIFS('Test Cases'!$B:$B,"Checkout",'Test Cases'!$L:$L,"Pass")</f>
        <v>0</v>
      </c>
      <c r="H25" s="22" t="n">
        <f aca="false">COUNTIFS('Test Cases'!$B:$B,"Checkout",'Test Cases'!$L:$L,"Fail")</f>
        <v>0</v>
      </c>
      <c r="I25" s="22" t="n">
        <f aca="false">COUNTIFS('Test Cases'!$B:$B,"Checkout",'Test Cases'!$L:$L,"Blocked")</f>
        <v>0</v>
      </c>
      <c r="J25" s="22" t="n">
        <f aca="false">COUNTIFS('Test Cases'!$B:$B,"Checkout",'Test Cases'!$L:$L,"Not Run")</f>
        <v>0</v>
      </c>
    </row>
    <row r="26" customFormat="false" ht="15" hidden="false" customHeight="false" outlineLevel="0" collapsed="false">
      <c r="B26" s="21" t="s">
        <v>715</v>
      </c>
      <c r="C26" s="22" t="n">
        <f aca="false">COUNTIF('Test Cases'!$B:$B,"Webhooks")</f>
        <v>2</v>
      </c>
      <c r="D26" s="22" t="n">
        <f aca="false">COUNTIFS('Test Cases'!$B:$B,"Webhooks",'Test Cases'!$F:$F,"P1")</f>
        <v>0</v>
      </c>
      <c r="E26" s="22" t="n">
        <f aca="false">COUNTIFS('Test Cases'!$B:$B,"Webhooks",'Test Cases'!$F:$F,"P2")</f>
        <v>1</v>
      </c>
      <c r="F26" s="22" t="n">
        <f aca="false">COUNTIFS('Test Cases'!$B:$B,"Webhooks",'Test Cases'!$F:$F,"P3")</f>
        <v>1</v>
      </c>
      <c r="G26" s="22" t="n">
        <f aca="false">COUNTIFS('Test Cases'!$B:$B,"Webhooks",'Test Cases'!$L:$L,"Pass")</f>
        <v>0</v>
      </c>
      <c r="H26" s="22" t="n">
        <f aca="false">COUNTIFS('Test Cases'!$B:$B,"Webhooks",'Test Cases'!$L:$L,"Fail")</f>
        <v>0</v>
      </c>
      <c r="I26" s="22" t="n">
        <f aca="false">COUNTIFS('Test Cases'!$B:$B,"Webhooks",'Test Cases'!$L:$L,"Blocked")</f>
        <v>0</v>
      </c>
      <c r="J26" s="22" t="n">
        <f aca="false">COUNTIFS('Test Cases'!$B:$B,"Webhooks",'Test Cases'!$L:$L,"Not Run")</f>
        <v>0</v>
      </c>
    </row>
    <row r="27" customFormat="false" ht="15" hidden="false" customHeight="false" outlineLevel="0" collapsed="false">
      <c r="B27" s="21" t="s">
        <v>727</v>
      </c>
      <c r="C27" s="22" t="n">
        <f aca="false">COUNTIF('Test Cases'!$B:$B,"Cross")</f>
        <v>5</v>
      </c>
      <c r="D27" s="22" t="n">
        <f aca="false">COUNTIFS('Test Cases'!$B:$B,"Cross",'Test Cases'!$F:$F,"P1")</f>
        <v>0</v>
      </c>
      <c r="E27" s="22" t="n">
        <f aca="false">COUNTIFS('Test Cases'!$B:$B,"Cross",'Test Cases'!$F:$F,"P2")</f>
        <v>2</v>
      </c>
      <c r="F27" s="22" t="n">
        <f aca="false">COUNTIFS('Test Cases'!$B:$B,"Cross",'Test Cases'!$F:$F,"P3")</f>
        <v>3</v>
      </c>
      <c r="G27" s="22" t="n">
        <f aca="false">COUNTIFS('Test Cases'!$B:$B,"Cross",'Test Cases'!$L:$L,"Pass")</f>
        <v>0</v>
      </c>
      <c r="H27" s="22" t="n">
        <f aca="false">COUNTIFS('Test Cases'!$B:$B,"Cross",'Test Cases'!$L:$L,"Fail")</f>
        <v>0</v>
      </c>
      <c r="I27" s="22" t="n">
        <f aca="false">COUNTIFS('Test Cases'!$B:$B,"Cross",'Test Cases'!$L:$L,"Blocked")</f>
        <v>0</v>
      </c>
      <c r="J27" s="22" t="n">
        <f aca="false">COUNTIFS('Test Cases'!$B:$B,"Cross",'Test Cases'!$L:$L,"Not Run")</f>
        <v>0</v>
      </c>
    </row>
    <row r="28" customFormat="false" ht="15" hidden="false" customHeight="false" outlineLevel="0" collapsed="false">
      <c r="B28" s="23" t="s">
        <v>759</v>
      </c>
      <c r="C28" s="23" t="n">
        <f aca="false">SUM(C5:C27)</f>
        <v>103</v>
      </c>
      <c r="D28" s="23" t="n">
        <f aca="false">SUM(D5:D27)</f>
        <v>13</v>
      </c>
      <c r="E28" s="23" t="n">
        <f aca="false">SUM(E5:E27)</f>
        <v>52</v>
      </c>
      <c r="F28" s="23" t="n">
        <f aca="false">SUM(F5:F27)</f>
        <v>38</v>
      </c>
      <c r="G28" s="23" t="n">
        <f aca="false">SUM(G5:G27)</f>
        <v>0</v>
      </c>
      <c r="H28" s="23" t="n">
        <f aca="false">SUM(H5:H27)</f>
        <v>0</v>
      </c>
      <c r="I28" s="23" t="n">
        <f aca="false">SUM(I5:I27)</f>
        <v>0</v>
      </c>
      <c r="J28" s="23" t="n">
        <f aca="false">SUM(J5:J27)</f>
        <v>0</v>
      </c>
    </row>
    <row r="30" customFormat="false" ht="15" hidden="false" customHeight="false" outlineLevel="0" collapsed="false">
      <c r="B30" s="24" t="s">
        <v>760</v>
      </c>
      <c r="C30" s="24"/>
      <c r="D30" s="24"/>
      <c r="E30" s="24"/>
      <c r="F30" s="24"/>
      <c r="G30" s="24"/>
      <c r="H30" s="24"/>
      <c r="I30" s="24"/>
      <c r="J30" s="24"/>
    </row>
  </sheetData>
  <mergeCells count="2">
    <mergeCell ref="B2:J2"/>
    <mergeCell ref="B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2026-07-23T17:21:38Z</dcterms:created>
  <dc:creator>openpyxl</dc:creator>
  <dc:description/>
  <dc:language>en-US</dc:language>
  <cp:lastModifiedBy/>
  <dcterms:modified xsi:type="dcterms:W3CDTF">2026-07-23T17:21:38Z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